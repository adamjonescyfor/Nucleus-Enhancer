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<sst xmlns="http://schemas.openxmlformats.org/spreadsheetml/2006/main" count="1538" uniqueCount="707">
  <si>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</si>
  <si>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128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</si>
  <si>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</si>
  <si>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</si>
  <si>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</si>
  <si>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</si>
  <si>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</si>
  <si>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</si>
  <si>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</si>
  <si>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</si>
  <si>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</si>
  <si>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</si>
  <si>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</si>
  <si>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</si>
  <si>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</si>
  <si>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</si>
  <si>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</si>
  <si>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</si>
  <si>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</si>
  <si>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</si>
  <si>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</si>
  <si>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</si>
  <si>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</si>
  <si>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</si>
  <si>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</si>
  <si>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</si>
  <si>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</si>
  <si>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</si>
  <si>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</si>
  <si>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</si>
  <si>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</si>
  <si>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</si>
  <si>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</si>
  <si>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</si>
  <si>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</si>
  <si>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</si>
  <si>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</si>
  <si>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</si>
  <si>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</si>
  <si>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</si>
  <si>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</si>
  <si>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</si>
  <si>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</si>
  <si>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</si>
  <si>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</si>
  <si>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</si>
  <si>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</si>
  <si>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</si>
  <si>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</si>
  <si>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</si>
  <si>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</si>
  <si>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</si>
  <si>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</si>
  <si>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</si>
  <si>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</si>
  <si>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</si>
  <si>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</si>
  <si>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</si>
  <si>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</si>
  <si>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</si>
  <si>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</si>
  <si>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</si>
  <si>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</si>
  <si>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</si>
  <si>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</si>
  <si>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</si>
  <si>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</si>
  <si>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</si>
  <si>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</si>
  <si>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</si>
  <si>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</si>
  <si>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</si>
  <si>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</si>
  <si>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</si>
  <si>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</si>
  <si>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</si>
  <si>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</si>
  <si>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</si>
  <si>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</si>
  <si>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</si>
  <si>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</si>
  <si>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</si>
  <si>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</si>
  <si>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</si>
  <si>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</si>
  <si>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</si>
  <si>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</si>
  <si>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</si>
  <si>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</si>
  <si>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</si>
  <si>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</si>
  <si>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</si>
  <si>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</si>
  <si>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</si>
  <si>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</si>
  <si>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</si>
  <si>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</si>
  <si>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</si>
  <si>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</si>
  <si>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</si>
  <si>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</si>
  <si>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</si>
  <si>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</si>
  <si>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</si>
  <si>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</si>
  <si>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</si>
  <si>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</si>
  <si>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</si>
  <si>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</si>
  <si>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</si>
  <si>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</si>
  <si>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</si>
  <si>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</si>
  <si>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</si>
  <si>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</si>
  <si>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</si>
  <si>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</si>
  <si>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</si>
  <si>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</si>
  <si>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</si>
  <si>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</si>
  <si>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</si>
  <si>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</si>
  <si>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</si>
  <si>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</si>
  <si>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</si>
  <si>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</si>
  <si>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</si>
  <si>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</si>
  <si>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</si>
  <si>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</si>
  <si>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</si>
  <si>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</si>
  <si>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</si>
  <si>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</si>
  <si>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</si>
  <si>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</si>
  <si>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</si>
  <si>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</si>
  <si>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</si>
  <si>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CT-06</t>
  </si>
  <si>
    <t xml:space="preserve">Sync Settings Across Devices</t>
  </si>
  <si>
    <t xml:space="preserve">Two devices same login</t>
  </si>
  <si>
    <t xml:space="preserve">Toggle on</t>
  </si>
  <si>
    <t xml:space="preserve">Toggle states (not templates) sync via Chrome Sync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</si>
  <si>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</si>
  <si>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</si>
  <si>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</si>
  <si>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</si>
  <si>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</si>
  <si>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</si>
  <si>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</si>
  <si>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</si>
  <si>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</si>
  <si>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</si>
  <si>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</si>
  <si>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</si>
  <si>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</si>
  <si>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</si>
  <si>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</si>
  <si>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</si>
  <si>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</si>
  <si>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</si>
  <si>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</si>
  <si>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</si>
  <si>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</si>
  <si>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</si>
  <si>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</si>
  <si>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</si>
  <si>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</si>
  <si>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</si>
  <si>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</si>
  <si>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</si>
  <si>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</si>
  <si>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</si>
  <si>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</si>
  <si>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</si>
  <si>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</si>
  <si>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</si>
  <si>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</si>
  <si>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</si>
  <si>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</si>
  <si>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</si>
  <si>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</si>
  <si>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</si>
  <si>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</si>
  <si>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</si>
  <si>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</si>
  <si>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</si>
  <si>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</si>
  <si>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</si>
  <si>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</si>
  <si>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</si>
  <si>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</si>
  <si>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</si>
  <si>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</si>
  <si>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</si>
  <si>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</si>
  <si>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</si>
  <si>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</si>
  <si>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</si>
  <si>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</si>
  <si>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</si>
  <si>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</si>
  <si>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</si>
  <si>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</si>
  <si>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</si>
  <si>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</si>
  <si>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</si>
  <si>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</si>
  <si>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</si>
  <si>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</si>
  <si>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</si>
  <si>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</si>
  <si>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</si>
  <si>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</si>
  <si>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</si>
  <si>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</si>
  <si>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</si>
  <si>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</si>
  <si>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</si>
  <si>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</si>
  <si>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</si>
  <si>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</si>
  <si>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</si>
  <si>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</si>
  <si>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</si>
  <si>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</si>
  <si>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</si>
  <si>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</si>
  <si>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</si>
  <si>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</si>
  <si>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</si>
  <si>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</si>
  <si>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</si>
  <si>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</si>
  <si>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</si>
  <si>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</si>
  <si>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</si>
  <si>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</si>
  <si>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</si>
  <si>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</si>
  <si>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</si>
  <si>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</si>
  <si>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</si>
  <si>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</si>
  <si>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</si>
  <si>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</si>
  <si>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</si>
  <si>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</si>
  <si>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</si>
  <si>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</si>
  <si>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</si>
  <si>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</si>
  <si>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</si>
  <si>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</si>
  <si>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</si>
  <si>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</si>
  <si>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</si>
  <si>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</si>
  <si>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</si>
  <si>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</si>
  <si>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</si>
  <si>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</si>
  <si>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</si>
  <si>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</si>
  <si>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</si>
  <si>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</si>
  <si>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</si>
  <si>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</si>
  <si>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</si>
  <si>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</si>
  <si>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</si>
  <si>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</si>
  <si>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</si>
  <si>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</si>
  <si>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</si>
  <si>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</si>
  <si>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</si>
  <si>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</si>
  <si>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</si>
  <si>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</si>
  <si>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</si>
  <si>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</si>
  <si>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</si>
  <si>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</si>
  <si>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</si>
  <si>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</si>
  <si>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</si>
  <si>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</si>
  <si>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</si>
  <si>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</si>
  <si>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</si>
  <si>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</si>
  <si>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</si>
  <si>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</si>
  <si>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</si>
  <si>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</si>
  <si>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</si>
  <si>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</si>
  <si>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</si>
  <si>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</si>
  <si>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</si>
  <si>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</si>
  <si>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</si>
  <si>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</si>
  <si>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</si>
  <si>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</si>
  <si>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</si>
  <si>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</si>
  <si>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</si>
  <si>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</si>
  <si>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</si>
  <si>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</si>
  <si>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</si>
  <si>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</si>
  <si>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</si>
  <si>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</si>
  <si>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</si>
  <si>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</si>
  <si>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</si>
  <si>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</si>
  <si>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</si>
  <si>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</si>
  <si>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</si>
  <si>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</si>
  <si>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</si>
  <si>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</si>
  <si>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</si>
  <si>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</si>
  <si>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</si>
  <si>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</si>
  <si>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</si>
  <si>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</si>
  <si>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</si>
  <si>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</si>
  <si>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</si>
  <si>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</si>
  <si>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</si>
  <si>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</si>
  <si>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</si>
  <si>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</si>
  <si>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</si>
  <si>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</si>
  <si>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</si>
  <si>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</si>
  <si>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</si>
  <si>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</si>
  <si>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</si>
  <si>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</si>
  <si>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</si>
  <si>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</si>
  <si>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</si>
  <si>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</si>
  <si>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</si>
  <si>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</si>
  <si>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</si>
  <si>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</si>
  <si>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</si>
  <si>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</si>
  <si>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</si>
  <si>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</si>
  <si>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</si>
  <si>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</si>
  <si>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</si>
  <si>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</si>
  <si>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</si>
  <si>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</si>
  <si>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</si>
  <si>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</si>
  <si>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</si>
  <si>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</si>
  <si>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</si>
  <si>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</si>
  <si>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</si>
  <si>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</si>
  <si>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</si>
  <si>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</si>
  <si>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</si>
  <si>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</si>
  <si>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</si>
  <si>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</si>
  <si>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</si>
  <si>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</si>
  <si>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</si>
  <si>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</si>
  <si>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</si>
  <si>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</si>
  <si>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</si>
  <si>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</si>
  <si>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</si>
  <si>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</si>
  <si>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</si>
  <si>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</si>
  <si>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</si>
  <si>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</si>
  <si>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</si>
  <si>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</si>
  <si>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</si>
  <si>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</si>
  <si>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</si>
  <si>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</si>
  <si>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</si>
  <si>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</si>
  <si>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</si>
  <si>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</si>
  <si>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</si>
  <si>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</si>
  <si>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</si>
  <si>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</si>
  <si>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</si>
  <si>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</si>
  <si>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</si>
  <si>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</si>
  <si>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</si>
  <si>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</si>
  <si>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</si>
  <si>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</si>
  <si>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</si>
  <si>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</si>
  <si>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</si>
  <si>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</si>
  <si>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</si>
  <si>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</si>
  <si>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</si>
  <si>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</si>
  <si>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</si>
  <si>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</si>
  <si>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</si>
  <si>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</si>
  <si>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</si>
  <si>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</si>
  <si>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</si>
  <si>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</si>
  <si>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</si>
  <si>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</si>
  <si>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</si>
  <si>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</si>
  <si>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</si>
  <si>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</si>
  <si>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</si>
  <si>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</si>
  <si>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</si>
  <si>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</si>
  <si>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</si>
  <si>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</si>
  <si>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</si>
  <si>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</si>
  <si>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</si>
  <si>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</si>
  <si>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</si>
  <si>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</si>
  <si>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</si>
  <si>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</si>
  <si>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</si>
  <si>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</si>
  <si>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</si>
  <si>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</si>
  <si>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</si>
  <si>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</si>
  <si>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</si>
  <si>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</si>
  <si>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</si>
  <si>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</si>
  <si>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</si>
  <si>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</si>
  <si>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</si>
  <si>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</si>
  <si>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</si>
  <si>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</si>
  <si>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</si>
  <si>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</si>
  <si>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</si>
  <si>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</si>
  <si>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</si>
  <si>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</si>
  <si>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</si>
  <si>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</si>
  <si>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</si>
  <si>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</si>
  <si>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</si>
  <si>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</si>
  <si>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</si>
  <si>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</si>
  <si>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</si>
  <si>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</si>
  <si>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</si>
  <si>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</si>
  <si>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</si>
  <si>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</si>
  <si>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</si>
  <si>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</si>
  <si>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</si>
  <si>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</si>
  <si>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</si>
  <si>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</si>
  <si>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</si>
  <si>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</si>
  <si>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</si>
  <si>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</si>
  <si>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</si>
  <si>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</si>
  <si>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</si>
  <si>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</si>
  <si>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</si>
  <si>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</si>
  <si>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</si>
  <si>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</si>
  <si>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</si>
  <si>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</si>
  <si>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</si>
  <si>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</si>
  <si>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</si>
  <si>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</si>
  <si>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</si>
  <si>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</si>
  <si>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</si>
  <si>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</si>
  <si>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</si>
  <si>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</si>
  <si>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</si>
  <si>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</si>
  <si>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</si>
  <si>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</si>
  <si>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</si>
  <si>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</si>
  <si>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</si>
  <si>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</si>
  <si>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</si>
  <si>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</si>
  <si>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</si>
  <si>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</si>
  <si>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</si>
  <si>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</si>
  <si>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</si>
  <si>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</si>
  <si>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</si>
  <si>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</si>
  <si>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</si>
  <si>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</si>
  <si>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</si>
  <si>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</si>
  <si>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</si>
  <si>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</si>
  <si>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</si>
  <si>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</si>
  <si>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</si>
  <si>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</si>
  <si>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</si>
  <si>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</si>
  <si>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</si>
  <si>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</si>
  <si>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</si>
  <si>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</si>
  <si>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</si>
  <si>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</si>
  <si>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</si>
  <si>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</si>
  <si>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</si>
  <si>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</si>
  <si>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</si>
  <si>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</si>
  <si>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</si>
  <si>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</si>
  <si>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</si>
  <si>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</si>
  <si>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</si>
  <si>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</si>
  <si>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</si>
  <si>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</si>
  <si>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</si>
  <si>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</si>
  <si>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</si>
  <si>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</si>
  <si>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</si>
  <si>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</si>
  <si>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</si>
  <si>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</si>
  <si>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</si>
  <si>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</si>
  <si>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</si>
  <si>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</si>
  <si>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</si>
  <si>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</si>
  <si>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</si>
  <si>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</si>
  <si>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</si>
  <si>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</si>
  <si>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</si>
  <si>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</si>
  <si>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</si>
  <si>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</si>
  <si>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</si>
  <si>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</si>
  <si>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</si>
  <si>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</si>
  <si>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</si>
  <si>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</si>
  <si>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</si>
  <si>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</si>
  <si>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</si>
  <si>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</si>
  <si>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</si>
  <si>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</si>
  <si>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</si>
  <si>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</si>
  <si>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</si>
  <si>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</si>
  <si>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</si>
  <si>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</si>
  <si>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</si>
  <si>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</si>
  <si>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</si>
  <si>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</si>
  <si>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</si>
  <si>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</si>
  <si>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</si>
  <si>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</si>
  <si>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</si>
  <si>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</si>
  <si>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</si>
  <si>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</si>
  <si>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</si>
  <si>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</si>
  <si>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</si>
  <si>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</si>
  <si>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</si>
  <si>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</si>
  <si>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</si>
  <si>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</si>
  <si>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</si>
  <si>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Suggestions</t>
  </si>
  <si>
    <t xml:space="preserve">S-07</t>
  </si>
  <si>
    <t xml:space="preserve">Member suggests an edit</t>
  </si>
  <si>
    <t xml:space="preserve">Member (read-only viewer)</t>
  </si>
  <si>
    <t xml:space="preserve">Click 'Suggest edit' on a template; change the text + add a reason; Send</t>
  </si>
  <si>
    <t xml:space="preserve">Confirmation shown; a NucleusTemplateChangeRequest__c (Pending) is created by you. Template itself is unchanged</t>
  </si>
  <si>
    <t xml:space="preserve">S-08</t>
  </si>
  <si>
    <t xml:space="preserve">Admin sees pending</t>
  </si>
  <si>
    <t xml:space="preserve">Admin; a suggestion exists</t>
  </si>
  <si>
    <t xml:space="preserve">Open the manager</t>
  </si>
  <si>
    <t xml:space="preserve">'Suggestions' tab appears with a count badge; the suggestion is listed with submitter + reason</t>
  </si>
  <si>
    <t xml:space="preserve">S-09</t>
  </si>
  <si>
    <t xml:space="preserve">Diff</t>
  </si>
  <si>
    <t xml:space="preserve">Admin; Suggestions tab</t>
  </si>
  <si>
    <t xml:space="preserve">Click 'View diff'</t>
  </si>
  <si>
    <t xml:space="preserve">Side-by-side added/removed lines: suggested vs current version</t>
  </si>
  <si>
    <t xml:space="preserve">S-10</t>
  </si>
  <si>
    <t xml:space="preserve">Apply</t>
  </si>
  <si>
    <t xml:space="preserve">Admin; a suggestion</t>
  </si>
  <si>
    <t xml:space="preserve">Click 'Apply…'</t>
  </si>
  <si>
    <t xml:space="preserve">Request marked Approved; editor opens prefilled with the proposed content + a change reason; Saving publishes a normal new version</t>
  </si>
  <si>
    <t xml:space="preserve">S-11</t>
  </si>
  <si>
    <t xml:space="preserve">Reject</t>
  </si>
  <si>
    <t xml:space="preserve">Click 'Reject' and confirm</t>
  </si>
  <si>
    <t xml:space="preserve">Request marked Rejected; it leaves the pending list; template unchanged</t>
  </si>
  <si>
    <t xml:space="preserve">S-12</t>
  </si>
  <si>
    <t xml:space="preserve">Admin nudge</t>
  </si>
  <si>
    <t xml:space="preserve">Pending suggestions exist</t>
  </si>
  <si>
    <t xml:space="preserve">Trigger a background sync</t>
  </si>
  <si>
    <t xml:space="preserve">At most one browser notification per day to admins; clicking opens the manager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</si>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</sst>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25.35" hidden="false" customHeight="false" outlineLevel="0" collapsed="false">
      <c r="A27" s="2" t="s">
        <v>140</v>
      </c>
      <c r="B27" s="2" t="s">
        <v>116</v>
      </c>
      <c r="C27" s="2" t="s">
        <v>141</v>
      </c>
      <c r="D27" s="2" t="s">
        <v>57</v>
      </c>
      <c r="E27" s="2" t="s">
        <v>142</v>
      </c>
      <c r="F27" s="2" t="s">
        <v>143</v>
      </c>
      <c r="G27" s="2" t="s">
        <v>144</v>
      </c>
      <c r="H27" s="12" t="s">
        <v>43</v>
      </c>
      <c r="I27" s="2" t="s">
        <v>43</v>
      </c>
      <c r="J27" s="2" t="s">
        <v>43</v>
      </c>
      <c r="K27" s="2" t="s">
        <v>43</v>
      </c>
    </row>
    <row r="28" customFormat="false" ht="14.55" hidden="false" customHeight="false" outlineLevel="0" collapsed="false">
      <c r="A28" s="11" t="s">
        <v>145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25.35" hidden="false" customHeight="false" outlineLevel="0" collapsed="false">
      <c r="A29" s="2" t="s">
        <v>146</v>
      </c>
      <c r="B29" s="2" t="s">
        <v>145</v>
      </c>
      <c r="C29" s="2" t="s">
        <v>147</v>
      </c>
      <c r="D29" s="2" t="s">
        <v>57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145</v>
      </c>
      <c r="C30" s="2" t="s">
        <v>152</v>
      </c>
      <c r="D30" s="2" t="s">
        <v>51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35.8" hidden="false" customHeight="false" outlineLevel="0" collapsed="false">
      <c r="A31" s="2" t="s">
        <v>156</v>
      </c>
      <c r="B31" s="2" t="s">
        <v>145</v>
      </c>
      <c r="C31" s="2" t="s">
        <v>157</v>
      </c>
      <c r="D31" s="2" t="s">
        <v>57</v>
      </c>
      <c r="E31" s="2" t="s">
        <v>158</v>
      </c>
      <c r="F31" s="2" t="s">
        <v>159</v>
      </c>
      <c r="G31" s="2" t="s">
        <v>160</v>
      </c>
      <c r="H31" s="12" t="s">
        <v>43</v>
      </c>
      <c r="I31" s="2" t="s">
        <v>43</v>
      </c>
      <c r="J31" s="2" t="s">
        <v>43</v>
      </c>
      <c r="K31" s="2" t="s">
        <v>43</v>
      </c>
    </row>
    <row r="32" customFormat="false" ht="14.55" hidden="false" customHeight="false" outlineLevel="0" collapsed="false">
      <c r="A32" s="11" t="s">
        <v>161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customFormat="false" ht="25.35" hidden="false" customHeight="false" outlineLevel="0" collapsed="false">
      <c r="A33" s="2" t="s">
        <v>162</v>
      </c>
      <c r="B33" s="2" t="s">
        <v>161</v>
      </c>
      <c r="C33" s="2" t="s">
        <v>163</v>
      </c>
      <c r="D33" s="2" t="s">
        <v>57</v>
      </c>
      <c r="E33" s="2" t="s">
        <v>164</v>
      </c>
      <c r="F33" s="2" t="s">
        <v>165</v>
      </c>
      <c r="G33" s="2" t="s">
        <v>166</v>
      </c>
      <c r="H33" s="12" t="s">
        <v>43</v>
      </c>
      <c r="I33" s="2" t="s">
        <v>43</v>
      </c>
      <c r="J33" s="2" t="s">
        <v>43</v>
      </c>
      <c r="K33" s="2" t="s">
        <v>43</v>
      </c>
    </row>
    <row r="34" customFormat="false" ht="14.55" hidden="false" customHeight="false" outlineLevel="0" collapsed="false">
      <c r="A34" s="11" t="s">
        <v>167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customFormat="false" ht="25.35" hidden="false" customHeight="false" outlineLevel="0" collapsed="false">
      <c r="A35" s="2" t="s">
        <v>168</v>
      </c>
      <c r="B35" s="2" t="s">
        <v>167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9" hidden="false" customHeight="false" outlineLevel="0" collapsed="false">
      <c r="A36" s="2" t="s">
        <v>173</v>
      </c>
      <c r="B36" s="2" t="s">
        <v>167</v>
      </c>
      <c r="C36" s="2" t="s">
        <v>174</v>
      </c>
      <c r="D36" s="2" t="s">
        <v>57</v>
      </c>
      <c r="E36" s="2" t="s">
        <v>175</v>
      </c>
      <c r="F36" s="2" t="s">
        <v>176</v>
      </c>
      <c r="G36" s="2" t="s">
        <v>177</v>
      </c>
      <c r="H36" s="12" t="s">
        <v>43</v>
      </c>
      <c r="I36" s="2" t="s">
        <v>43</v>
      </c>
      <c r="J36" s="2" t="s">
        <v>43</v>
      </c>
      <c r="K36" s="2" t="s">
        <v>43</v>
      </c>
    </row>
    <row r="37" customFormat="false" ht="14.55" hidden="false" customHeight="false" outlineLevel="0" collapsed="false">
      <c r="A37" s="11" t="s">
        <v>178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25.35" hidden="false" customHeight="false" outlineLevel="0" collapsed="false">
      <c r="A38" s="2" t="s">
        <v>179</v>
      </c>
      <c r="B38" s="2" t="s">
        <v>178</v>
      </c>
      <c r="C38" s="2" t="s">
        <v>180</v>
      </c>
      <c r="D38" s="2" t="s">
        <v>51</v>
      </c>
      <c r="E38" s="2" t="s">
        <v>119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178</v>
      </c>
      <c r="C39" s="2" t="s">
        <v>184</v>
      </c>
      <c r="D39" s="2" t="s">
        <v>39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25.35" hidden="false" customHeight="false" outlineLevel="0" collapsed="false">
      <c r="A40" s="2" t="s">
        <v>188</v>
      </c>
      <c r="B40" s="2" t="s">
        <v>178</v>
      </c>
      <c r="C40" s="2" t="s">
        <v>189</v>
      </c>
      <c r="D40" s="2" t="s">
        <v>51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9" hidden="false" customHeight="false" outlineLevel="0" collapsed="false">
      <c r="A41" s="2" t="s">
        <v>193</v>
      </c>
      <c r="B41" s="2" t="s">
        <v>178</v>
      </c>
      <c r="C41" s="2" t="s">
        <v>194</v>
      </c>
      <c r="D41" s="2" t="s">
        <v>57</v>
      </c>
      <c r="E41" s="2" t="s">
        <v>195</v>
      </c>
      <c r="F41" s="2" t="s">
        <v>196</v>
      </c>
      <c r="G41" s="2" t="s">
        <v>197</v>
      </c>
      <c r="H41" s="12" t="s">
        <v>43</v>
      </c>
      <c r="I41" s="2" t="s">
        <v>43</v>
      </c>
      <c r="J41" s="2" t="s">
        <v>43</v>
      </c>
      <c r="K41" s="2" t="s">
        <v>43</v>
      </c>
    </row>
    <row r="42" customFormat="false" ht="14.55" hidden="false" customHeight="false" outlineLevel="0" collapsed="false">
      <c r="A42" s="11" t="s">
        <v>198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customFormat="false" ht="25.35" hidden="false" customHeight="false" outlineLevel="0" collapsed="false">
      <c r="A43" s="2" t="s">
        <v>199</v>
      </c>
      <c r="B43" s="2" t="s">
        <v>198</v>
      </c>
      <c r="C43" s="2" t="s">
        <v>200</v>
      </c>
      <c r="D43" s="2" t="s">
        <v>57</v>
      </c>
      <c r="E43" s="2" t="s">
        <v>201</v>
      </c>
      <c r="F43" s="2" t="s">
        <v>84</v>
      </c>
      <c r="G43" s="2" t="s">
        <v>202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203</v>
      </c>
      <c r="B44" s="2" t="s">
        <v>198</v>
      </c>
      <c r="C44" s="2" t="s">
        <v>204</v>
      </c>
      <c r="D44" s="2" t="s">
        <v>57</v>
      </c>
      <c r="E44" s="2" t="s">
        <v>205</v>
      </c>
      <c r="F44" s="2" t="s">
        <v>84</v>
      </c>
      <c r="G44" s="2" t="s">
        <v>206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9" hidden="false" customHeight="false" outlineLevel="0" collapsed="false">
      <c r="A45" s="2" t="s">
        <v>207</v>
      </c>
      <c r="B45" s="2" t="s">
        <v>198</v>
      </c>
      <c r="C45" s="2" t="s">
        <v>208</v>
      </c>
      <c r="D45" s="2" t="s">
        <v>57</v>
      </c>
      <c r="E45" s="2" t="s">
        <v>119</v>
      </c>
      <c r="F45" s="2" t="s">
        <v>209</v>
      </c>
      <c r="G45" s="2" t="s">
        <v>210</v>
      </c>
      <c r="H45" s="12" t="s">
        <v>43</v>
      </c>
      <c r="I45" s="2" t="s">
        <v>43</v>
      </c>
      <c r="J45" s="2" t="s">
        <v>43</v>
      </c>
      <c r="K45" s="2" t="s">
        <v>43</v>
      </c>
    </row>
    <row r="46" customFormat="false" ht="14.55" hidden="false" customHeight="false" outlineLevel="0" collapsed="false">
      <c r="A46" s="11" t="s">
        <v>211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customFormat="false" ht="25.35" hidden="false" customHeight="false" outlineLevel="0" collapsed="false">
      <c r="A47" s="2" t="s">
        <v>212</v>
      </c>
      <c r="B47" s="2" t="s">
        <v>211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211</v>
      </c>
      <c r="C48" s="2" t="s">
        <v>218</v>
      </c>
      <c r="D48" s="2" t="s">
        <v>39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211</v>
      </c>
      <c r="C49" s="2" t="s">
        <v>223</v>
      </c>
      <c r="D49" s="2" t="s">
        <v>51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211</v>
      </c>
      <c r="C50" s="2" t="s">
        <v>228</v>
      </c>
      <c r="D50" s="2" t="s">
        <v>39</v>
      </c>
      <c r="E50" s="2" t="s">
        <v>229</v>
      </c>
      <c r="F50" s="2" t="s">
        <v>230</v>
      </c>
      <c r="G50" s="2" t="s">
        <v>231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25.35" hidden="false" customHeight="false" outlineLevel="0" collapsed="false">
      <c r="A51" s="2" t="s">
        <v>232</v>
      </c>
      <c r="B51" s="2" t="s">
        <v>211</v>
      </c>
      <c r="C51" s="2" t="s">
        <v>233</v>
      </c>
      <c r="D51" s="2" t="s">
        <v>51</v>
      </c>
      <c r="E51" s="2" t="s">
        <v>234</v>
      </c>
      <c r="F51" s="2" t="s">
        <v>211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35.8" hidden="false" customHeight="false" outlineLevel="0" collapsed="false">
      <c r="A52" s="2" t="s">
        <v>236</v>
      </c>
      <c r="B52" s="2" t="s">
        <v>211</v>
      </c>
      <c r="C52" s="2" t="s">
        <v>237</v>
      </c>
      <c r="D52" s="2" t="s">
        <v>39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211</v>
      </c>
      <c r="C53" s="2" t="s">
        <v>242</v>
      </c>
      <c r="D53" s="2" t="s">
        <v>51</v>
      </c>
      <c r="E53" s="2" t="s">
        <v>243</v>
      </c>
      <c r="F53" s="2" t="s">
        <v>244</v>
      </c>
      <c r="G53" s="2" t="s">
        <v>245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246</v>
      </c>
      <c r="B54" s="2" t="s">
        <v>211</v>
      </c>
      <c r="C54" s="2" t="s">
        <v>247</v>
      </c>
      <c r="D54" s="2" t="s">
        <v>51</v>
      </c>
      <c r="E54" s="2" t="s">
        <v>248</v>
      </c>
      <c r="F54" s="2" t="s">
        <v>211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25.35" hidden="false" customHeight="false" outlineLevel="0" collapsed="false">
      <c r="A55" s="2" t="s">
        <v>250</v>
      </c>
      <c r="B55" s="2" t="s">
        <v>211</v>
      </c>
      <c r="C55" s="2" t="s">
        <v>251</v>
      </c>
      <c r="D55" s="2" t="s">
        <v>39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9" hidden="false" customHeight="false" outlineLevel="0" collapsed="false">
      <c r="A56" s="2" t="s">
        <v>255</v>
      </c>
      <c r="B56" s="2" t="s">
        <v>211</v>
      </c>
      <c r="C56" s="2" t="s">
        <v>256</v>
      </c>
      <c r="D56" s="2" t="s">
        <v>51</v>
      </c>
      <c r="E56" s="2" t="s">
        <v>257</v>
      </c>
      <c r="F56" s="2" t="s">
        <v>258</v>
      </c>
      <c r="G56" s="2" t="s">
        <v>259</v>
      </c>
      <c r="H56" s="12" t="s">
        <v>43</v>
      </c>
      <c r="I56" s="2" t="s">
        <v>43</v>
      </c>
      <c r="J56" s="2" t="s">
        <v>43</v>
      </c>
      <c r="K56" s="2" t="s">
        <v>43</v>
      </c>
    </row>
    <row r="57" customFormat="false" ht="14.55" hidden="false" customHeight="false" outlineLevel="0" collapsed="false">
      <c r="A57" s="11" t="s">
        <v>260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customFormat="false" ht="14.9" hidden="false" customHeight="false" outlineLevel="0" collapsed="false">
      <c r="A58" s="2" t="s">
        <v>261</v>
      </c>
      <c r="B58" s="2" t="s">
        <v>260</v>
      </c>
      <c r="C58" s="2" t="s">
        <v>262</v>
      </c>
      <c r="D58" s="2" t="s">
        <v>39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260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260</v>
      </c>
      <c r="C60" s="2" t="s">
        <v>272</v>
      </c>
      <c r="D60" s="2" t="s">
        <v>51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25.35" hidden="false" customHeight="false" outlineLevel="0" collapsed="false">
      <c r="A61" s="2" t="s">
        <v>276</v>
      </c>
      <c r="B61" s="2" t="s">
        <v>260</v>
      </c>
      <c r="C61" s="2" t="s">
        <v>277</v>
      </c>
      <c r="D61" s="2" t="s">
        <v>57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35.8" hidden="false" customHeight="false" outlineLevel="0" collapsed="false">
      <c r="A62" s="2" t="s">
        <v>281</v>
      </c>
      <c r="B62" s="2" t="s">
        <v>260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260</v>
      </c>
      <c r="C63" s="2" t="s">
        <v>287</v>
      </c>
      <c r="D63" s="2" t="s">
        <v>39</v>
      </c>
      <c r="E63" s="2" t="s">
        <v>288</v>
      </c>
      <c r="F63" s="2" t="s">
        <v>289</v>
      </c>
      <c r="G63" s="2" t="s">
        <v>290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25.35" hidden="false" customHeight="false" outlineLevel="0" collapsed="false">
      <c r="A64" s="2" t="s">
        <v>291</v>
      </c>
      <c r="B64" s="2" t="s">
        <v>260</v>
      </c>
      <c r="C64" s="2" t="s">
        <v>292</v>
      </c>
      <c r="D64" s="2" t="s">
        <v>57</v>
      </c>
      <c r="E64" s="2" t="s">
        <v>293</v>
      </c>
      <c r="F64" s="2" t="s">
        <v>279</v>
      </c>
      <c r="G64" s="2" t="s">
        <v>294</v>
      </c>
      <c r="H64" s="12" t="s">
        <v>43</v>
      </c>
      <c r="I64" s="2" t="s">
        <v>43</v>
      </c>
      <c r="J64" s="2" t="s">
        <v>43</v>
      </c>
      <c r="K64" s="2" t="s">
        <v>43</v>
      </c>
    </row>
    <row r="65" customFormat="false" ht="14.55" hidden="false" customHeight="false" outlineLevel="0" collapsed="false">
      <c r="A65" s="11" t="s">
        <v>295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customFormat="false" ht="25.35" hidden="false" customHeight="false" outlineLevel="0" collapsed="false">
      <c r="A66" s="2" t="s">
        <v>296</v>
      </c>
      <c r="B66" s="2" t="s">
        <v>295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295</v>
      </c>
      <c r="C67" s="2" t="s">
        <v>302</v>
      </c>
      <c r="D67" s="2" t="s">
        <v>39</v>
      </c>
      <c r="E67" s="2" t="s">
        <v>303</v>
      </c>
      <c r="F67" s="2" t="s">
        <v>304</v>
      </c>
      <c r="G67" s="2" t="s">
        <v>305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25.35" hidden="false" customHeight="false" outlineLevel="0" collapsed="false">
      <c r="A68" s="2" t="s">
        <v>306</v>
      </c>
      <c r="B68" s="2" t="s">
        <v>295</v>
      </c>
      <c r="C68" s="2" t="s">
        <v>307</v>
      </c>
      <c r="D68" s="2" t="s">
        <v>51</v>
      </c>
      <c r="E68" s="2" t="s">
        <v>308</v>
      </c>
      <c r="F68" s="2" t="s">
        <v>304</v>
      </c>
      <c r="G68" s="2" t="s">
        <v>309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14.9" hidden="false" customHeight="false" outlineLevel="0" collapsed="false">
      <c r="A69" s="2" t="s">
        <v>310</v>
      </c>
      <c r="B69" s="2" t="s">
        <v>295</v>
      </c>
      <c r="C69" s="2" t="s">
        <v>311</v>
      </c>
      <c r="D69" s="2" t="s">
        <v>51</v>
      </c>
      <c r="E69" s="2" t="s">
        <v>312</v>
      </c>
      <c r="F69" s="2" t="s">
        <v>304</v>
      </c>
      <c r="G69" s="2" t="s">
        <v>313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25.35" hidden="false" customHeight="false" outlineLevel="0" collapsed="false">
      <c r="A70" s="2" t="s">
        <v>314</v>
      </c>
      <c r="B70" s="2" t="s">
        <v>295</v>
      </c>
      <c r="C70" s="2" t="s">
        <v>315</v>
      </c>
      <c r="D70" s="2" t="s">
        <v>57</v>
      </c>
      <c r="E70" s="2" t="s">
        <v>316</v>
      </c>
      <c r="F70" s="2" t="s">
        <v>304</v>
      </c>
      <c r="G70" s="2" t="s">
        <v>317</v>
      </c>
      <c r="H70" s="12" t="s">
        <v>43</v>
      </c>
      <c r="I70" s="2" t="s">
        <v>43</v>
      </c>
      <c r="J70" s="2" t="s">
        <v>43</v>
      </c>
      <c r="K70" s="2" t="s">
        <v>43</v>
      </c>
    </row>
    <row r="71" customFormat="false" ht="14.55" hidden="false" customHeight="false" outlineLevel="0" collapsed="false">
      <c r="A71" s="11" t="s">
        <v>318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customFormat="false" ht="35.8" hidden="false" customHeight="false" outlineLevel="0" collapsed="false">
      <c r="A72" s="2" t="s">
        <v>319</v>
      </c>
      <c r="B72" s="2" t="s">
        <v>318</v>
      </c>
      <c r="C72" s="2" t="s">
        <v>320</v>
      </c>
      <c r="D72" s="2" t="s">
        <v>57</v>
      </c>
      <c r="E72" s="2" t="s">
        <v>321</v>
      </c>
      <c r="F72" s="2" t="s">
        <v>322</v>
      </c>
      <c r="G72" s="2" t="s">
        <v>323</v>
      </c>
      <c r="H72" s="12" t="s">
        <v>43</v>
      </c>
      <c r="I72" s="2" t="s">
        <v>43</v>
      </c>
      <c r="J72" s="2" t="s">
        <v>43</v>
      </c>
      <c r="K72" s="2" t="s">
        <v>43</v>
      </c>
    </row>
    <row r="73" customFormat="false" ht="14.55" hidden="false" customHeight="false" outlineLevel="0" collapsed="false">
      <c r="A73" s="11" t="s">
        <v>324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customFormat="false" ht="25.35" hidden="false" customHeight="false" outlineLevel="0" collapsed="false">
      <c r="A74" s="2" t="s">
        <v>325</v>
      </c>
      <c r="B74" s="2" t="s">
        <v>324</v>
      </c>
      <c r="C74" s="2" t="s">
        <v>326</v>
      </c>
      <c r="D74" s="2" t="s">
        <v>51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25.35" hidden="false" customHeight="false" outlineLevel="0" collapsed="false">
      <c r="A75" s="2" t="s">
        <v>330</v>
      </c>
      <c r="B75" s="2" t="s">
        <v>324</v>
      </c>
      <c r="C75" s="2" t="s">
        <v>331</v>
      </c>
      <c r="D75" s="2" t="s">
        <v>57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324</v>
      </c>
      <c r="C76" s="2" t="s">
        <v>336</v>
      </c>
      <c r="D76" s="2" t="s">
        <v>39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35.8" hidden="false" customHeight="false" outlineLevel="0" collapsed="false">
      <c r="A77" s="2" t="s">
        <v>340</v>
      </c>
      <c r="B77" s="2" t="s">
        <v>324</v>
      </c>
      <c r="C77" s="2" t="s">
        <v>341</v>
      </c>
      <c r="D77" s="2" t="s">
        <v>57</v>
      </c>
      <c r="E77" s="2" t="s">
        <v>342</v>
      </c>
      <c r="F77" s="2" t="s">
        <v>343</v>
      </c>
      <c r="G77" s="2" t="s">
        <v>344</v>
      </c>
      <c r="H77" s="12" t="s">
        <v>43</v>
      </c>
      <c r="I77" s="2" t="s">
        <v>43</v>
      </c>
      <c r="J77" s="2" t="s">
        <v>43</v>
      </c>
      <c r="K77" s="2" t="s">
        <v>43</v>
      </c>
    </row>
    <row r="78" customFormat="false" ht="14.55" hidden="false" customHeight="false" outlineLevel="0" collapsed="false">
      <c r="A78" s="11" t="s">
        <v>345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25.35" hidden="false" customHeight="false" outlineLevel="0" collapsed="false">
      <c r="A79" s="2" t="s">
        <v>346</v>
      </c>
      <c r="B79" s="2" t="s">
        <v>345</v>
      </c>
      <c r="C79" s="2" t="s">
        <v>347</v>
      </c>
      <c r="D79" s="2" t="s">
        <v>51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25.35" hidden="false" customHeight="false" outlineLevel="0" collapsed="false">
      <c r="A80" s="2" t="s">
        <v>351</v>
      </c>
      <c r="B80" s="2" t="s">
        <v>345</v>
      </c>
      <c r="C80" s="2" t="s">
        <v>352</v>
      </c>
      <c r="D80" s="2" t="s">
        <v>57</v>
      </c>
      <c r="E80" s="2" t="s">
        <v>353</v>
      </c>
      <c r="F80" s="2" t="s">
        <v>354</v>
      </c>
      <c r="G80" s="2" t="s">
        <v>355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14.55" hidden="false" customHeight="false" outlineLevel="0" collapsed="false">
      <c r="A81" s="11" t="s">
        <v>356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25.35" hidden="false" customHeight="false" outlineLevel="0" collapsed="false">
      <c r="A82" s="2" t="s">
        <v>357</v>
      </c>
      <c r="B82" s="2" t="s">
        <v>356</v>
      </c>
      <c r="C82" s="2" t="s">
        <v>358</v>
      </c>
      <c r="D82" s="2" t="s">
        <v>39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356</v>
      </c>
      <c r="C83" s="2" t="s">
        <v>363</v>
      </c>
      <c r="D83" s="2" t="s">
        <v>51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25.35" hidden="false" customHeight="false" outlineLevel="0" collapsed="false">
      <c r="A84" s="2" t="s">
        <v>367</v>
      </c>
      <c r="B84" s="2" t="s">
        <v>356</v>
      </c>
      <c r="C84" s="2" t="s">
        <v>368</v>
      </c>
      <c r="D84" s="2" t="s">
        <v>51</v>
      </c>
      <c r="E84" s="2" t="s">
        <v>369</v>
      </c>
      <c r="F84" s="2" t="s">
        <v>370</v>
      </c>
      <c r="G84" s="2" t="s">
        <v>371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25.35" hidden="false" customHeight="false" outlineLevel="0" collapsed="false">
      <c r="A85" s="2" t="s">
        <v>372</v>
      </c>
      <c r="B85" s="2" t="s">
        <v>356</v>
      </c>
      <c r="C85" s="2" t="s">
        <v>373</v>
      </c>
      <c r="D85" s="2" t="s">
        <v>39</v>
      </c>
      <c r="E85" s="2" t="s">
        <v>374</v>
      </c>
      <c r="F85" s="2" t="s">
        <v>375</v>
      </c>
      <c r="G85" s="2" t="s">
        <v>376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14.55" hidden="false" customHeight="false" outlineLevel="0" collapsed="false">
      <c r="A86" s="11" t="s">
        <v>377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customFormat="false" ht="35.8" hidden="false" customHeight="false" outlineLevel="0" collapsed="false">
      <c r="A87" s="2" t="s">
        <v>378</v>
      </c>
      <c r="B87" s="2" t="s">
        <v>377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46.25" hidden="false" customHeight="false" outlineLevel="0" collapsed="false">
      <c r="A88" s="2" t="s">
        <v>383</v>
      </c>
      <c r="B88" s="2" t="s">
        <v>377</v>
      </c>
      <c r="C88" s="2" t="s">
        <v>384</v>
      </c>
      <c r="D88" s="2" t="s">
        <v>51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25.35" hidden="false" customHeight="false" outlineLevel="0" collapsed="false">
      <c r="A89" s="2" t="s">
        <v>388</v>
      </c>
      <c r="B89" s="2" t="s">
        <v>377</v>
      </c>
      <c r="C89" s="2" t="s">
        <v>389</v>
      </c>
      <c r="D89" s="2" t="s">
        <v>51</v>
      </c>
      <c r="E89" s="2" t="s">
        <v>390</v>
      </c>
      <c r="F89" s="2" t="s">
        <v>391</v>
      </c>
      <c r="G89" s="2" t="s">
        <v>392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25.35" hidden="false" customHeight="false" outlineLevel="0" collapsed="false">
      <c r="A90" s="2" t="s">
        <v>393</v>
      </c>
      <c r="B90" s="2" t="s">
        <v>377</v>
      </c>
      <c r="C90" s="2" t="s">
        <v>394</v>
      </c>
      <c r="D90" s="2" t="s">
        <v>51</v>
      </c>
      <c r="E90" s="2" t="s">
        <v>395</v>
      </c>
      <c r="F90" s="2" t="s">
        <v>396</v>
      </c>
      <c r="G90" s="2" t="s">
        <v>397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35.8" hidden="false" customHeight="false" outlineLevel="0" collapsed="false">
      <c r="A91" s="2" t="s">
        <v>398</v>
      </c>
      <c r="B91" s="2" t="s">
        <v>377</v>
      </c>
      <c r="C91" s="2" t="s">
        <v>399</v>
      </c>
      <c r="D91" s="2" t="s">
        <v>51</v>
      </c>
      <c r="E91" s="2" t="s">
        <v>400</v>
      </c>
      <c r="F91" s="2" t="s">
        <v>401</v>
      </c>
      <c r="G91" s="2" t="s">
        <v>402</v>
      </c>
      <c r="H91" s="12" t="s">
        <v>43</v>
      </c>
      <c r="I91" s="2" t="s">
        <v>43</v>
      </c>
      <c r="J91" s="2" t="s">
        <v>43</v>
      </c>
      <c r="K91" s="2" t="s">
        <v>43</v>
      </c>
    </row>
    <row r="92" customFormat="false" ht="14.55" hidden="false" customHeight="false" outlineLevel="0" collapsed="false">
      <c r="A92" s="11" t="s">
        <v>403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customFormat="false" ht="25.35" hidden="false" customHeight="false" outlineLevel="0" collapsed="false">
      <c r="A93" s="2" t="s">
        <v>404</v>
      </c>
      <c r="B93" s="2" t="s">
        <v>403</v>
      </c>
      <c r="C93" s="2" t="s">
        <v>405</v>
      </c>
      <c r="D93" s="2" t="s">
        <v>39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409</v>
      </c>
      <c r="B94" s="2" t="s">
        <v>403</v>
      </c>
      <c r="C94" s="2" t="s">
        <v>410</v>
      </c>
      <c r="D94" s="2" t="s">
        <v>39</v>
      </c>
      <c r="E94" s="2" t="s">
        <v>411</v>
      </c>
      <c r="F94" s="2" t="s">
        <v>412</v>
      </c>
      <c r="G94" s="2" t="s">
        <v>413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414</v>
      </c>
      <c r="B95" s="2" t="s">
        <v>403</v>
      </c>
      <c r="C95" s="2" t="s">
        <v>415</v>
      </c>
      <c r="D95" s="2" t="s">
        <v>51</v>
      </c>
      <c r="E95" s="2" t="s">
        <v>411</v>
      </c>
      <c r="F95" s="2" t="s">
        <v>416</v>
      </c>
      <c r="G95" s="2" t="s">
        <v>417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25.35" hidden="false" customHeight="false" outlineLevel="0" collapsed="false">
      <c r="A96" s="2" t="s">
        <v>418</v>
      </c>
      <c r="B96" s="2" t="s">
        <v>403</v>
      </c>
      <c r="C96" s="2" t="s">
        <v>419</v>
      </c>
      <c r="D96" s="2" t="s">
        <v>51</v>
      </c>
      <c r="E96" s="2" t="s">
        <v>411</v>
      </c>
      <c r="F96" s="2" t="s">
        <v>420</v>
      </c>
      <c r="G96" s="2" t="s">
        <v>421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25.35" hidden="false" customHeight="false" outlineLevel="0" collapsed="false">
      <c r="A97" s="2" t="s">
        <v>422</v>
      </c>
      <c r="B97" s="2" t="s">
        <v>403</v>
      </c>
      <c r="C97" s="2" t="s">
        <v>423</v>
      </c>
      <c r="D97" s="2" t="s">
        <v>51</v>
      </c>
      <c r="E97" s="2" t="s">
        <v>424</v>
      </c>
      <c r="F97" s="2" t="s">
        <v>425</v>
      </c>
      <c r="G97" s="2" t="s">
        <v>426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25.35" hidden="false" customHeight="false" outlineLevel="0" collapsed="false">
      <c r="A98" s="2" t="s">
        <v>427</v>
      </c>
      <c r="B98" s="2" t="s">
        <v>403</v>
      </c>
      <c r="C98" s="2" t="s">
        <v>428</v>
      </c>
      <c r="D98" s="2" t="s">
        <v>51</v>
      </c>
      <c r="E98" s="2" t="s">
        <v>429</v>
      </c>
      <c r="F98" s="2" t="s">
        <v>430</v>
      </c>
      <c r="G98" s="2" t="s">
        <v>431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14.55" hidden="false" customHeight="false" outlineLevel="0" collapsed="false">
      <c r="A99" s="11" t="s">
        <v>432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customFormat="false" ht="35.8" hidden="false" customHeight="false" outlineLevel="0" collapsed="false">
      <c r="A100" s="2" t="s">
        <v>433</v>
      </c>
      <c r="B100" s="2" t="s">
        <v>432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438</v>
      </c>
      <c r="B101" s="2" t="s">
        <v>432</v>
      </c>
      <c r="C101" s="2" t="s">
        <v>439</v>
      </c>
      <c r="D101" s="2" t="s">
        <v>51</v>
      </c>
      <c r="E101" s="2" t="s">
        <v>440</v>
      </c>
      <c r="F101" s="2" t="s">
        <v>441</v>
      </c>
      <c r="G101" s="2" t="s">
        <v>442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25.35" hidden="false" customHeight="false" outlineLevel="0" collapsed="false">
      <c r="A102" s="2" t="s">
        <v>443</v>
      </c>
      <c r="B102" s="2" t="s">
        <v>432</v>
      </c>
      <c r="C102" s="2" t="s">
        <v>444</v>
      </c>
      <c r="D102" s="2" t="s">
        <v>51</v>
      </c>
      <c r="E102" s="2" t="s">
        <v>440</v>
      </c>
      <c r="F102" s="2" t="s">
        <v>445</v>
      </c>
      <c r="G102" s="2" t="s">
        <v>446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9" hidden="false" customHeight="false" outlineLevel="0" collapsed="false">
      <c r="A103" s="2" t="s">
        <v>447</v>
      </c>
      <c r="B103" s="2" t="s">
        <v>432</v>
      </c>
      <c r="C103" s="2" t="s">
        <v>448</v>
      </c>
      <c r="D103" s="2" t="s">
        <v>57</v>
      </c>
      <c r="E103" s="2" t="s">
        <v>440</v>
      </c>
      <c r="F103" s="2" t="s">
        <v>449</v>
      </c>
      <c r="G103" s="2" t="s">
        <v>450</v>
      </c>
      <c r="H103" s="12" t="s">
        <v>43</v>
      </c>
      <c r="I103" s="2" t="s">
        <v>43</v>
      </c>
      <c r="J103" s="2" t="s">
        <v>43</v>
      </c>
      <c r="K103" s="2" t="s">
        <v>43</v>
      </c>
    </row>
    <row r="104" customFormat="false" ht="25.35" hidden="false" customHeight="false" outlineLevel="0" collapsed="false">
      <c r="A104" s="2" t="s">
        <v>451</v>
      </c>
      <c r="B104" s="2" t="s">
        <v>432</v>
      </c>
      <c r="C104" s="2" t="s">
        <v>452</v>
      </c>
      <c r="D104" s="2" t="s">
        <v>51</v>
      </c>
      <c r="E104" s="2" t="s">
        <v>440</v>
      </c>
      <c r="F104" s="2" t="s">
        <v>453</v>
      </c>
      <c r="G104" s="2" t="s">
        <v>454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35.8" hidden="false" customHeight="false" outlineLevel="0" collapsed="false">
      <c r="A105" s="2" t="s">
        <v>455</v>
      </c>
      <c r="B105" s="2" t="s">
        <v>432</v>
      </c>
      <c r="C105" s="2" t="s">
        <v>456</v>
      </c>
      <c r="D105" s="2" t="s">
        <v>51</v>
      </c>
      <c r="E105" s="2" t="s">
        <v>440</v>
      </c>
      <c r="F105" s="2" t="s">
        <v>457</v>
      </c>
      <c r="G105" s="2" t="s">
        <v>458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14.9" hidden="false" customHeight="false" outlineLevel="0" collapsed="false">
      <c r="A106" s="2" t="s">
        <v>459</v>
      </c>
      <c r="B106" s="2" t="s">
        <v>432</v>
      </c>
      <c r="C106" s="2" t="s">
        <v>460</v>
      </c>
      <c r="D106" s="2" t="s">
        <v>57</v>
      </c>
      <c r="E106" s="2" t="s">
        <v>440</v>
      </c>
      <c r="F106" s="2" t="s">
        <v>461</v>
      </c>
      <c r="G106" s="2" t="s">
        <v>462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463</v>
      </c>
      <c r="B107" s="2" t="s">
        <v>432</v>
      </c>
      <c r="C107" s="2" t="s">
        <v>464</v>
      </c>
      <c r="D107" s="2" t="s">
        <v>51</v>
      </c>
      <c r="E107" s="2" t="s">
        <v>440</v>
      </c>
      <c r="F107" s="2" t="s">
        <v>465</v>
      </c>
      <c r="G107" s="2" t="s">
        <v>466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467</v>
      </c>
      <c r="B108" s="2" t="s">
        <v>432</v>
      </c>
      <c r="C108" s="2" t="s">
        <v>468</v>
      </c>
      <c r="D108" s="2" t="s">
        <v>39</v>
      </c>
      <c r="E108" s="2" t="s">
        <v>469</v>
      </c>
      <c r="F108" s="2" t="s">
        <v>470</v>
      </c>
      <c r="G108" s="2" t="s">
        <v>471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25.35" hidden="false" customHeight="false" outlineLevel="0" collapsed="false">
      <c r="A109" s="2" t="s">
        <v>472</v>
      </c>
      <c r="B109" s="2" t="s">
        <v>432</v>
      </c>
      <c r="C109" s="2" t="s">
        <v>473</v>
      </c>
      <c r="D109" s="2" t="s">
        <v>51</v>
      </c>
      <c r="E109" s="2" t="s">
        <v>474</v>
      </c>
      <c r="F109" s="2" t="s">
        <v>475</v>
      </c>
      <c r="G109" s="2" t="s">
        <v>476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35.8" hidden="false" customHeight="false" outlineLevel="0" collapsed="false">
      <c r="A110" s="2" t="s">
        <v>477</v>
      </c>
      <c r="B110" s="2" t="s">
        <v>432</v>
      </c>
      <c r="C110" s="2" t="s">
        <v>478</v>
      </c>
      <c r="D110" s="2" t="s">
        <v>39</v>
      </c>
      <c r="E110" s="2" t="s">
        <v>440</v>
      </c>
      <c r="F110" s="2" t="s">
        <v>479</v>
      </c>
      <c r="G110" s="2" t="s">
        <v>480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481</v>
      </c>
      <c r="B111" s="2" t="s">
        <v>432</v>
      </c>
      <c r="C111" s="2" t="s">
        <v>482</v>
      </c>
      <c r="D111" s="2" t="s">
        <v>39</v>
      </c>
      <c r="E111" s="2" t="s">
        <v>483</v>
      </c>
      <c r="F111" s="2" t="s">
        <v>484</v>
      </c>
      <c r="G111" s="2" t="s">
        <v>485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14.55" hidden="false" customHeight="false" outlineLevel="0" collapsed="false">
      <c r="A112" s="11" t="s">
        <v>486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customFormat="false" ht="25.35" hidden="false" customHeight="false" outlineLevel="0" collapsed="false">
      <c r="A113" s="2" t="s">
        <v>487</v>
      </c>
      <c r="B113" s="2" t="s">
        <v>486</v>
      </c>
      <c r="C113" s="2" t="s">
        <v>488</v>
      </c>
      <c r="D113" s="2" t="s">
        <v>39</v>
      </c>
      <c r="E113" s="2" t="s">
        <v>489</v>
      </c>
      <c r="F113" s="2" t="s">
        <v>490</v>
      </c>
      <c r="G113" s="2" t="s">
        <v>491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492</v>
      </c>
      <c r="B114" s="2" t="s">
        <v>486</v>
      </c>
      <c r="C114" s="2" t="s">
        <v>493</v>
      </c>
      <c r="D114" s="2" t="s">
        <v>39</v>
      </c>
      <c r="E114" s="2" t="s">
        <v>494</v>
      </c>
      <c r="F114" s="2" t="s">
        <v>490</v>
      </c>
      <c r="G114" s="2" t="s">
        <v>495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496</v>
      </c>
      <c r="B115" s="2" t="s">
        <v>486</v>
      </c>
      <c r="C115" s="2" t="s">
        <v>497</v>
      </c>
      <c r="D115" s="2" t="s">
        <v>39</v>
      </c>
      <c r="E115" s="2" t="s">
        <v>498</v>
      </c>
      <c r="F115" s="2" t="s">
        <v>499</v>
      </c>
      <c r="G115" s="2" t="s">
        <v>500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25.35" hidden="false" customHeight="false" outlineLevel="0" collapsed="false">
      <c r="A116" s="2" t="s">
        <v>501</v>
      </c>
      <c r="B116" s="2" t="s">
        <v>486</v>
      </c>
      <c r="C116" s="2" t="s">
        <v>502</v>
      </c>
      <c r="D116" s="2" t="s">
        <v>51</v>
      </c>
      <c r="E116" s="2" t="s">
        <v>503</v>
      </c>
      <c r="F116" s="2" t="s">
        <v>504</v>
      </c>
      <c r="G116" s="2" t="s">
        <v>505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14.55" hidden="false" customHeight="false" outlineLevel="0" collapsed="false">
      <c r="A117" s="11" t="s">
        <v>506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 customFormat="false" ht="35.8" hidden="false" customHeight="false" outlineLevel="0" collapsed="false">
      <c r="A118" s="2" t="s">
        <v>507</v>
      </c>
      <c r="B118" s="2" t="s">
        <v>506</v>
      </c>
      <c r="C118" s="2" t="s">
        <v>508</v>
      </c>
      <c r="D118" s="2" t="s">
        <v>51</v>
      </c>
      <c r="E118" s="2" t="s">
        <v>424</v>
      </c>
      <c r="F118" s="2" t="s">
        <v>509</v>
      </c>
      <c r="G118" s="2" t="s">
        <v>510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511</v>
      </c>
      <c r="B119" s="2" t="s">
        <v>506</v>
      </c>
      <c r="C119" s="2" t="s">
        <v>512</v>
      </c>
      <c r="D119" s="2" t="s">
        <v>57</v>
      </c>
      <c r="E119" s="2" t="s">
        <v>513</v>
      </c>
      <c r="F119" s="2" t="s">
        <v>512</v>
      </c>
      <c r="G119" s="2" t="s">
        <v>514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14.55" hidden="false" customHeight="false" outlineLevel="0" collapsed="false">
      <c r="A120" s="11" t="s">
        <v>515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customFormat="false" ht="35.8" hidden="false" customHeight="false" outlineLevel="0" collapsed="false">
      <c r="A121" s="2" t="s">
        <v>516</v>
      </c>
      <c r="B121" s="2" t="s">
        <v>515</v>
      </c>
      <c r="C121" s="2" t="s">
        <v>517</v>
      </c>
      <c r="D121" s="2" t="s">
        <v>51</v>
      </c>
      <c r="E121" s="2" t="s">
        <v>518</v>
      </c>
      <c r="F121" s="2" t="s">
        <v>519</v>
      </c>
      <c r="G121" s="2" t="s">
        <v>520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521</v>
      </c>
      <c r="B122" s="2" t="s">
        <v>515</v>
      </c>
      <c r="C122" s="2" t="s">
        <v>522</v>
      </c>
      <c r="D122" s="2" t="s">
        <v>51</v>
      </c>
      <c r="E122" s="2" t="s">
        <v>523</v>
      </c>
      <c r="F122" s="2" t="s">
        <v>524</v>
      </c>
      <c r="G122" s="2" t="s">
        <v>525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526</v>
      </c>
      <c r="B123" s="2" t="s">
        <v>515</v>
      </c>
      <c r="C123" s="2" t="s">
        <v>527</v>
      </c>
      <c r="D123" s="2" t="s">
        <v>57</v>
      </c>
      <c r="E123" s="2" t="s">
        <v>528</v>
      </c>
      <c r="F123" s="2" t="s">
        <v>529</v>
      </c>
      <c r="G123" s="2" t="s">
        <v>530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25.35" hidden="false" customHeight="false" outlineLevel="0" collapsed="false">
      <c r="A124" s="2" t="s">
        <v>531</v>
      </c>
      <c r="B124" s="2" t="s">
        <v>515</v>
      </c>
      <c r="C124" s="2" t="s">
        <v>532</v>
      </c>
      <c r="D124" s="2" t="s">
        <v>57</v>
      </c>
      <c r="E124" s="2" t="s">
        <v>533</v>
      </c>
      <c r="F124" s="2" t="s">
        <v>534</v>
      </c>
      <c r="G124" s="2" t="s">
        <v>535</v>
      </c>
      <c r="H124" s="12" t="s">
        <v>43</v>
      </c>
      <c r="I124" s="2" t="s">
        <v>43</v>
      </c>
      <c r="J124" s="2" t="s">
        <v>43</v>
      </c>
      <c r="K124" s="2" t="s">
        <v>43</v>
      </c>
    </row>
    <row r="125" customFormat="false" ht="14.55" hidden="false" customHeight="false" outlineLevel="0" collapsed="false">
      <c r="A125" s="11" t="s">
        <v>536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customFormat="false" ht="25.35" hidden="false" customHeight="false" outlineLevel="0" collapsed="false">
      <c r="A126" s="2" t="s">
        <v>537</v>
      </c>
      <c r="B126" s="2" t="s">
        <v>536</v>
      </c>
      <c r="C126" s="2" t="s">
        <v>538</v>
      </c>
      <c r="D126" s="2" t="s">
        <v>39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542</v>
      </c>
      <c r="B127" s="2" t="s">
        <v>536</v>
      </c>
      <c r="C127" s="2" t="s">
        <v>543</v>
      </c>
      <c r="D127" s="2" t="s">
        <v>39</v>
      </c>
      <c r="E127" s="2" t="s">
        <v>544</v>
      </c>
      <c r="F127" s="2" t="s">
        <v>545</v>
      </c>
      <c r="G127" s="2" t="s">
        <v>546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14.55" hidden="false" customHeight="false" outlineLevel="0" collapsed="false">
      <c r="A128" s="11" t="s">
        <v>547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customFormat="false" ht="25.35" hidden="false" customHeight="false" outlineLevel="0" collapsed="false">
      <c r="A129" s="2" t="s">
        <v>548</v>
      </c>
      <c r="B129" s="2" t="s">
        <v>547</v>
      </c>
      <c r="C129" s="2" t="s">
        <v>549</v>
      </c>
      <c r="D129" s="2" t="s">
        <v>51</v>
      </c>
      <c r="E129" s="2" t="s">
        <v>550</v>
      </c>
      <c r="F129" s="2" t="s">
        <v>551</v>
      </c>
      <c r="G129" s="2" t="s">
        <v>552</v>
      </c>
      <c r="H129" s="12" t="s">
        <v>43</v>
      </c>
      <c r="I129" s="2" t="s">
        <v>43</v>
      </c>
      <c r="J129" s="2" t="s">
        <v>43</v>
      </c>
      <c r="K129" s="2" t="s">
        <v>43</v>
      </c>
    </row>
    <row r="130" customFormat="false" ht="14.55" hidden="false" customHeight="false" outlineLevel="0" collapsed="false">
      <c r="A130" s="11" t="s">
        <v>553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customFormat="false" ht="25.35" hidden="false" customHeight="false" outlineLevel="0" collapsed="false">
      <c r="A131" s="2" t="s">
        <v>554</v>
      </c>
      <c r="B131" s="2" t="s">
        <v>553</v>
      </c>
      <c r="C131" s="2" t="s">
        <v>555</v>
      </c>
      <c r="D131" s="2" t="s">
        <v>57</v>
      </c>
      <c r="E131" s="2" t="s">
        <v>556</v>
      </c>
      <c r="F131" s="2" t="s">
        <v>557</v>
      </c>
      <c r="G131" s="2" t="s">
        <v>558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25.35" hidden="false" customHeight="false" outlineLevel="0" collapsed="false">
      <c r="A132" s="2" t="s">
        <v>559</v>
      </c>
      <c r="B132" s="2" t="s">
        <v>553</v>
      </c>
      <c r="C132" s="2" t="s">
        <v>560</v>
      </c>
      <c r="D132" s="2" t="s">
        <v>57</v>
      </c>
      <c r="E132" s="2" t="s">
        <v>561</v>
      </c>
      <c r="F132" s="2" t="s">
        <v>562</v>
      </c>
      <c r="G132" s="2" t="s">
        <v>563</v>
      </c>
      <c r="H132" s="12" t="s">
        <v>43</v>
      </c>
      <c r="I132" s="2" t="s">
        <v>43</v>
      </c>
      <c r="J132" s="2" t="s">
        <v>43</v>
      </c>
      <c r="K132" s="2" t="s">
        <v>43</v>
      </c>
    </row>
    <row r="133" customFormat="false" ht="14.55" hidden="false" customHeight="false" outlineLevel="0" collapsed="false">
      <c r="A133" s="11" t="s">
        <v>564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46.25" hidden="false" customHeight="false" outlineLevel="0" collapsed="false">
      <c r="A134" s="2" t="s">
        <v>565</v>
      </c>
      <c r="B134" s="2" t="s">
        <v>564</v>
      </c>
      <c r="C134" s="2" t="s">
        <v>566</v>
      </c>
      <c r="D134" s="2" t="s">
        <v>51</v>
      </c>
      <c r="E134" s="2" t="s">
        <v>119</v>
      </c>
      <c r="F134" s="2" t="s">
        <v>567</v>
      </c>
      <c r="G134" s="2" t="s">
        <v>568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56.7" hidden="false" customHeight="false" outlineLevel="0" collapsed="false">
      <c r="A135" s="2" t="s">
        <v>569</v>
      </c>
      <c r="B135" s="2" t="s">
        <v>564</v>
      </c>
      <c r="C135" s="2" t="s">
        <v>570</v>
      </c>
      <c r="D135" s="2" t="s">
        <v>57</v>
      </c>
      <c r="E135" s="2" t="s">
        <v>571</v>
      </c>
      <c r="F135" s="2" t="s">
        <v>572</v>
      </c>
      <c r="G135" s="2" t="s">
        <v>573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14.55" hidden="false" customHeight="false" outlineLevel="0" collapsed="false">
      <c r="A136" s="11" t="s">
        <v>574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customFormat="false" ht="35.8" hidden="false" customHeight="false" outlineLevel="0" collapsed="false">
      <c r="A137" s="2" t="s">
        <v>575</v>
      </c>
      <c r="B137" s="2" t="s">
        <v>574</v>
      </c>
      <c r="C137" s="2" t="s">
        <v>576</v>
      </c>
      <c r="D137" s="2" t="s">
        <v>39</v>
      </c>
      <c r="E137" s="2" t="s">
        <v>577</v>
      </c>
      <c r="F137" s="2" t="s">
        <v>578</v>
      </c>
      <c r="G137" s="2" t="s">
        <v>579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25.35" hidden="false" customHeight="false" outlineLevel="0" collapsed="false">
      <c r="A138" s="2" t="s">
        <v>580</v>
      </c>
      <c r="B138" s="2" t="s">
        <v>574</v>
      </c>
      <c r="C138" s="2" t="s">
        <v>581</v>
      </c>
      <c r="D138" s="2" t="s">
        <v>39</v>
      </c>
      <c r="E138" s="2" t="s">
        <v>582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25.35" hidden="false" customHeight="false" outlineLevel="0" collapsed="false">
      <c r="A139" s="2" t="s">
        <v>585</v>
      </c>
      <c r="B139" s="2" t="s">
        <v>574</v>
      </c>
      <c r="C139" s="2" t="s">
        <v>586</v>
      </c>
      <c r="D139" s="2" t="s">
        <v>51</v>
      </c>
      <c r="E139" s="2" t="s">
        <v>587</v>
      </c>
      <c r="F139" s="2" t="s">
        <v>588</v>
      </c>
      <c r="G139" s="2" t="s">
        <v>589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56.7" hidden="false" customHeight="false" outlineLevel="0" collapsed="false">
      <c r="A140" s="2" t="s">
        <v>590</v>
      </c>
      <c r="B140" s="2" t="s">
        <v>574</v>
      </c>
      <c r="C140" s="2" t="s">
        <v>591</v>
      </c>
      <c r="D140" s="2" t="s">
        <v>51</v>
      </c>
      <c r="E140" s="2" t="s">
        <v>592</v>
      </c>
      <c r="F140" s="2" t="s">
        <v>593</v>
      </c>
      <c r="G140" s="2" t="s">
        <v>594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67.15" hidden="false" customHeight="false" outlineLevel="0" collapsed="false">
      <c r="A141" s="2" t="s">
        <v>595</v>
      </c>
      <c r="B141" s="2" t="s">
        <v>574</v>
      </c>
      <c r="C141" s="2" t="s">
        <v>596</v>
      </c>
      <c r="D141" s="2" t="s">
        <v>51</v>
      </c>
      <c r="E141" s="2" t="s">
        <v>597</v>
      </c>
      <c r="F141" s="2" t="s">
        <v>598</v>
      </c>
      <c r="G141" s="2" t="s">
        <v>599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35.8" hidden="false" customHeight="false" outlineLevel="0" collapsed="false">
      <c r="A142" s="2" t="s">
        <v>600</v>
      </c>
      <c r="B142" s="2" t="s">
        <v>574</v>
      </c>
      <c r="C142" s="2" t="s">
        <v>601</v>
      </c>
      <c r="D142" s="2" t="s">
        <v>57</v>
      </c>
      <c r="E142" s="2" t="s">
        <v>602</v>
      </c>
      <c r="F142" s="2" t="s">
        <v>603</v>
      </c>
      <c r="G142" s="2" t="s">
        <v>604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14.55" hidden="false" customHeight="false" outlineLevel="0" collapsed="false">
      <c r="A143" s="11" t="s">
        <v>605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 customFormat="false" ht="35.8" hidden="false" customHeight="false" outlineLevel="0" collapsed="false">
      <c r="A144" s="2" t="s">
        <v>606</v>
      </c>
      <c r="B144" s="2" t="s">
        <v>605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35.8" hidden="false" customHeight="false" outlineLevel="0" collapsed="false">
      <c r="A145" s="2" t="s">
        <v>611</v>
      </c>
      <c r="B145" s="2" t="s">
        <v>605</v>
      </c>
      <c r="C145" s="2" t="s">
        <v>612</v>
      </c>
      <c r="D145" s="2" t="s">
        <v>51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35.8" hidden="false" customHeight="false" outlineLevel="0" collapsed="false">
      <c r="A146" s="2" t="s">
        <v>616</v>
      </c>
      <c r="B146" s="2" t="s">
        <v>605</v>
      </c>
      <c r="C146" s="2" t="s">
        <v>617</v>
      </c>
      <c r="D146" s="2" t="s">
        <v>51</v>
      </c>
      <c r="E146" s="2" t="s">
        <v>618</v>
      </c>
      <c r="F146" s="2" t="s">
        <v>619</v>
      </c>
      <c r="G146" s="2" t="s">
        <v>620</v>
      </c>
      <c r="H146" s="12" t="s">
        <v>43</v>
      </c>
      <c r="I146" s="2" t="s">
        <v>43</v>
      </c>
      <c r="J146" s="2" t="s">
        <v>43</v>
      </c>
      <c r="K146" s="2" t="s">
        <v>43</v>
      </c>
    </row>
    <row r="147" customFormat="false" ht="46.25" hidden="false" customHeight="false" outlineLevel="0" collapsed="false">
      <c r="A147" s="2" t="s">
        <v>621</v>
      </c>
      <c r="B147" s="2" t="s">
        <v>605</v>
      </c>
      <c r="C147" s="2" t="s">
        <v>622</v>
      </c>
      <c r="D147" s="2" t="s">
        <v>51</v>
      </c>
      <c r="E147" s="2" t="s">
        <v>623</v>
      </c>
      <c r="F147" s="2" t="s">
        <v>624</v>
      </c>
      <c r="G147" s="2" t="s">
        <v>625</v>
      </c>
      <c r="H147" s="12" t="s">
        <v>43</v>
      </c>
      <c r="I147" s="2" t="s">
        <v>43</v>
      </c>
      <c r="J147" s="2" t="s">
        <v>43</v>
      </c>
      <c r="K147" s="2" t="s">
        <v>43</v>
      </c>
    </row>
    <row r="148" customFormat="false" ht="25.35" hidden="false" customHeight="false" outlineLevel="0" collapsed="false">
      <c r="A148" s="2" t="s">
        <v>626</v>
      </c>
      <c r="B148" s="2" t="s">
        <v>605</v>
      </c>
      <c r="C148" s="2" t="s">
        <v>627</v>
      </c>
      <c r="D148" s="2" t="s">
        <v>57</v>
      </c>
      <c r="E148" s="2" t="s">
        <v>628</v>
      </c>
      <c r="F148" s="2" t="s">
        <v>629</v>
      </c>
      <c r="G148" s="2" t="s">
        <v>630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14.55" hidden="false" customHeight="false" outlineLevel="0" collapsed="false">
      <c r="A149" s="11" t="s">
        <v>631</v>
      </c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 customFormat="false" ht="46.25" hidden="false" customHeight="false" outlineLevel="0" collapsed="false">
      <c r="A150" s="2" t="s">
        <v>632</v>
      </c>
      <c r="B150" s="2" t="s">
        <v>631</v>
      </c>
      <c r="C150" s="2" t="s">
        <v>633</v>
      </c>
      <c r="D150" s="2" t="s">
        <v>51</v>
      </c>
      <c r="E150" s="2" t="s">
        <v>634</v>
      </c>
      <c r="F150" s="2" t="s">
        <v>635</v>
      </c>
      <c r="G150" s="2" t="s">
        <v>636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35.8" hidden="false" customHeight="false" outlineLevel="0" collapsed="false">
      <c r="A151" s="2" t="s">
        <v>637</v>
      </c>
      <c r="B151" s="2" t="s">
        <v>631</v>
      </c>
      <c r="C151" s="2" t="s">
        <v>638</v>
      </c>
      <c r="D151" s="2" t="s">
        <v>51</v>
      </c>
      <c r="E151" s="2" t="s">
        <v>639</v>
      </c>
      <c r="F151" s="2" t="s">
        <v>640</v>
      </c>
      <c r="G151" s="2" t="s">
        <v>641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25.35" hidden="false" customHeight="false" outlineLevel="0" collapsed="false">
      <c r="A152" s="2" t="s">
        <v>642</v>
      </c>
      <c r="B152" s="2" t="s">
        <v>631</v>
      </c>
      <c r="C152" s="2" t="s">
        <v>643</v>
      </c>
      <c r="D152" s="2" t="s">
        <v>57</v>
      </c>
      <c r="E152" s="2" t="s">
        <v>644</v>
      </c>
      <c r="F152" s="2" t="s">
        <v>645</v>
      </c>
      <c r="G152" s="2" t="s">
        <v>646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46.25" hidden="false" customHeight="false" outlineLevel="0" collapsed="false">
      <c r="A153" s="2" t="s">
        <v>647</v>
      </c>
      <c r="B153" s="2" t="s">
        <v>631</v>
      </c>
      <c r="C153" s="2" t="s">
        <v>648</v>
      </c>
      <c r="D153" s="2" t="s">
        <v>51</v>
      </c>
      <c r="E153" s="2" t="s">
        <v>649</v>
      </c>
      <c r="F153" s="2" t="s">
        <v>650</v>
      </c>
      <c r="G153" s="2" t="s">
        <v>651</v>
      </c>
      <c r="H153" s="12" t="s">
        <v>43</v>
      </c>
      <c r="I153" s="2" t="s">
        <v>43</v>
      </c>
      <c r="J153" s="2" t="s">
        <v>43</v>
      </c>
      <c r="K153" s="2" t="s">
        <v>43</v>
      </c>
    </row>
    <row r="154" customFormat="false" ht="25.35" hidden="false" customHeight="false" outlineLevel="0" collapsed="false">
      <c r="A154" s="2" t="s">
        <v>652</v>
      </c>
      <c r="B154" s="2" t="s">
        <v>631</v>
      </c>
      <c r="C154" s="2" t="s">
        <v>653</v>
      </c>
      <c r="D154" s="2" t="s">
        <v>57</v>
      </c>
      <c r="E154" s="2" t="s">
        <v>649</v>
      </c>
      <c r="F154" s="2" t="s">
        <v>654</v>
      </c>
      <c r="G154" s="2" t="s">
        <v>655</v>
      </c>
      <c r="H154" s="12" t="s">
        <v>43</v>
      </c>
      <c r="I154" s="2" t="s">
        <v>43</v>
      </c>
      <c r="J154" s="2" t="s">
        <v>43</v>
      </c>
      <c r="K154" s="2" t="s">
        <v>43</v>
      </c>
    </row>
    <row r="155" customFormat="false" ht="25.35" hidden="false" customHeight="false" outlineLevel="0" collapsed="false">
      <c r="A155" s="2" t="s">
        <v>656</v>
      </c>
      <c r="B155" s="2" t="s">
        <v>631</v>
      </c>
      <c r="C155" s="2" t="s">
        <v>657</v>
      </c>
      <c r="D155" s="2" t="s">
        <v>57</v>
      </c>
      <c r="E155" s="2" t="s">
        <v>658</v>
      </c>
      <c r="F155" s="2" t="s">
        <v>659</v>
      </c>
      <c r="G155" s="2" t="s">
        <v>660</v>
      </c>
      <c r="H155" s="12" t="s">
        <v>43</v>
      </c>
      <c r="I155" s="2" t="s">
        <v>43</v>
      </c>
      <c r="J155" s="2" t="s">
        <v>43</v>
      </c>
      <c r="K155" s="2" t="s">
        <v>43</v>
      </c>
    </row>
    <row r="156" customFormat="false" ht="14.55" hidden="false" customHeight="false" outlineLevel="0" collapsed="false">
      <c r="A156" s="11" t="s">
        <v>661</v>
      </c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 customFormat="false" ht="25.35" hidden="false" customHeight="false" outlineLevel="0" collapsed="false">
      <c r="A157" s="2" t="s">
        <v>662</v>
      </c>
      <c r="B157" s="2" t="s">
        <v>661</v>
      </c>
      <c r="C157" s="2" t="s">
        <v>663</v>
      </c>
      <c r="D157" s="2" t="s">
        <v>51</v>
      </c>
      <c r="E157" s="2" t="s">
        <v>664</v>
      </c>
      <c r="F157" s="2" t="s">
        <v>665</v>
      </c>
      <c r="G157" s="2" t="s">
        <v>666</v>
      </c>
      <c r="H157" s="12" t="s">
        <v>43</v>
      </c>
      <c r="I157" s="2" t="s">
        <v>43</v>
      </c>
      <c r="J157" s="2" t="s">
        <v>43</v>
      </c>
      <c r="K157" s="2" t="s">
        <v>43</v>
      </c>
    </row>
    <row r="158" customFormat="false" ht="14.9" hidden="false" customHeight="false" outlineLevel="0" collapsed="false">
      <c r="A158" s="2" t="s">
        <v>667</v>
      </c>
      <c r="B158" s="2" t="s">
        <v>661</v>
      </c>
      <c r="C158" s="2" t="s">
        <v>668</v>
      </c>
      <c r="D158" s="2" t="s">
        <v>57</v>
      </c>
      <c r="E158" s="2" t="s">
        <v>669</v>
      </c>
      <c r="F158" s="2" t="s">
        <v>670</v>
      </c>
      <c r="G158" s="2" t="s">
        <v>671</v>
      </c>
      <c r="H158" s="12" t="s">
        <v>43</v>
      </c>
      <c r="I158" s="2" t="s">
        <v>43</v>
      </c>
      <c r="J158" s="2" t="s">
        <v>43</v>
      </c>
      <c r="K158" s="2" t="s">
        <v>43</v>
      </c>
    </row>
    <row r="159" customFormat="false" ht="25.35" hidden="false" customHeight="false" outlineLevel="0" collapsed="false">
      <c r="A159" s="2" t="s">
        <v>672</v>
      </c>
      <c r="B159" s="2" t="s">
        <v>661</v>
      </c>
      <c r="C159" s="2" t="s">
        <v>673</v>
      </c>
      <c r="D159" s="2" t="s">
        <v>51</v>
      </c>
      <c r="E159" s="2" t="s">
        <v>674</v>
      </c>
      <c r="F159" s="2" t="s">
        <v>675</v>
      </c>
      <c r="G159" s="2" t="s">
        <v>676</v>
      </c>
      <c r="H159" s="12" t="s">
        <v>43</v>
      </c>
      <c r="I159" s="2" t="s">
        <v>43</v>
      </c>
      <c r="J159" s="2" t="s">
        <v>43</v>
      </c>
      <c r="K159" s="2" t="s">
        <v>43</v>
      </c>
    </row>
    <row r="160" customFormat="false" ht="25.35" hidden="false" customHeight="false" outlineLevel="0" collapsed="false">
      <c r="A160" s="2" t="s">
        <v>677</v>
      </c>
      <c r="B160" s="2" t="s">
        <v>661</v>
      </c>
      <c r="C160" s="2" t="s">
        <v>678</v>
      </c>
      <c r="D160" s="2" t="s">
        <v>57</v>
      </c>
      <c r="E160" s="2" t="s">
        <v>679</v>
      </c>
      <c r="F160" s="2" t="s">
        <v>680</v>
      </c>
      <c r="G160" s="2" t="s">
        <v>681</v>
      </c>
      <c r="H160" s="12" t="s">
        <v>43</v>
      </c>
      <c r="I160" s="2" t="s">
        <v>43</v>
      </c>
      <c r="J160" s="2" t="s">
        <v>43</v>
      </c>
      <c r="K160" s="2" t="s">
        <v>43</v>
      </c>
    </row>
  </sheetData>
  <mergeCells count="31">
    <mergeCell ref="A1:K1"/>
    <mergeCell ref="A3:K3"/>
    <mergeCell ref="A8:K8"/>
    <mergeCell ref="A14:K14"/>
    <mergeCell ref="A21:K21"/>
    <mergeCell ref="A28:K28"/>
    <mergeCell ref="A32:K32"/>
    <mergeCell ref="A34:K34"/>
    <mergeCell ref="A37:K37"/>
    <mergeCell ref="A42:K42"/>
    <mergeCell ref="A46:K46"/>
    <mergeCell ref="A57:K57"/>
    <mergeCell ref="A65:K65"/>
    <mergeCell ref="A71:K71"/>
    <mergeCell ref="A73:K73"/>
    <mergeCell ref="A78:K78"/>
    <mergeCell ref="A81:K81"/>
    <mergeCell ref="A86:K86"/>
    <mergeCell ref="A92:K92"/>
    <mergeCell ref="A99:K99"/>
    <mergeCell ref="A112:K112"/>
    <mergeCell ref="A117:K117"/>
    <mergeCell ref="A120:K120"/>
    <mergeCell ref="A125:K125"/>
    <mergeCell ref="A128:K128"/>
    <mergeCell ref="A130:K130"/>
    <mergeCell ref="A133:K133"/>
    <mergeCell ref="A136:K136"/>
    <mergeCell ref="A143:K143"/>
    <mergeCell ref="A149:K149"/>
    <mergeCell ref="A156:K156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7 H29:H31 H33 H35:H36 H38:H41 H43:H45 H47:H56 H58:H64 H66:H70 H72 H74:H77 H79:H80 H82:H85 H87:H91 H93:H98 H100:H111 H113:H116 H118:H119 H121:H124 H126:H127 H129 H131:H132 H134:H135 H137:H142 H144:H148 H150:H155 H157:H160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682</v>
      </c>
      <c r="B1" s="1"/>
    </row>
    <row r="2" customFormat="false" ht="13.8" hidden="false" customHeight="false" outlineLevel="0" collapsed="false">
      <c r="A2" s="3" t="s">
        <v>683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684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685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145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161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167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178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198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211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260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295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318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324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345</v>
      </c>
      <c r="B24" s="2" t="e">
        <f aca="false">of:=COUNTIFS('Test Cases'!B3:B400,"Photo download",'Test Cases'!H3:H400,"Pass")</f>
        <v>#VALUE!</v>
      </c>
    </row>
    <row r="25" customFormat="false" ht="14.9" hidden="false" customHeight="false" outlineLevel="0" collapsed="false">
      <c r="A25" s="8" t="s">
        <v>356</v>
      </c>
      <c r="B25" s="2" t="e">
        <f aca="false">of:=COUNTIFS('Test Cases'!B3:B400,"Case report",'Test Cases'!H3:H400,"Pass")</f>
        <v>#VALUE!</v>
      </c>
    </row>
    <row r="26" customFormat="false" ht="14.9" hidden="false" customHeight="false" outlineLevel="0" collapsed="false">
      <c r="A26" s="8" t="s">
        <v>377</v>
      </c>
      <c r="B26" s="2" t="e">
        <f aca="false">of:=COUNTIFS('Test Cases'!B3:B400,"Manager",'Test Cases'!H3:H400,"Pass")</f>
        <v>#VALUE!</v>
      </c>
    </row>
    <row r="27" customFormat="false" ht="14.9" hidden="false" customHeight="false" outlineLevel="0" collapsed="false">
      <c r="A27" s="8" t="s">
        <v>403</v>
      </c>
      <c r="B27" s="2" t="e">
        <f aca="false">of:=COUNTIFS('Test Cases'!B3:B400,"Manager edit",'Test Cases'!H3:H400,"Pass")</f>
        <v>#VALUE!</v>
      </c>
    </row>
    <row r="28" customFormat="false" ht="14.9" hidden="false" customHeight="false" outlineLevel="0" collapsed="false">
      <c r="A28" s="8" t="s">
        <v>432</v>
      </c>
      <c r="B28" s="2" t="e">
        <f aca="false">of:=COUNTIFS('Test Cases'!B3:B400,"RTE editor",'Test Cases'!H3:H400,"Pass")</f>
        <v>#VALUE!</v>
      </c>
    </row>
    <row r="29" customFormat="false" ht="14.9" hidden="false" customHeight="false" outlineLevel="0" collapsed="false">
      <c r="A29" s="8" t="s">
        <v>486</v>
      </c>
      <c r="B29" s="2" t="e">
        <f aca="false">of:=COUNTIFS('Test Cases'!B3:B400,"Teams",'Test Cases'!H3:H400,"Pass")</f>
        <v>#VALUE!</v>
      </c>
    </row>
    <row r="30" customFormat="false" ht="14.9" hidden="false" customHeight="false" outlineLevel="0" collapsed="false">
      <c r="A30" s="8" t="s">
        <v>506</v>
      </c>
      <c r="B30" s="2" t="e">
        <f aca="false">of:=COUNTIFS('Test Cases'!B3:B400,"History",'Test Cases'!H3:H400,"Pass")</f>
        <v>#VALUE!</v>
      </c>
    </row>
    <row r="31" customFormat="false" ht="14.9" hidden="false" customHeight="false" outlineLevel="0" collapsed="false">
      <c r="A31" s="8" t="s">
        <v>515</v>
      </c>
      <c r="B31" s="2" t="e">
        <f aca="false">of:=COUNTIFS('Test Cases'!B3:B400,"Usage",'Test Cases'!H3:H400,"Pass")</f>
        <v>#VALUE!</v>
      </c>
    </row>
    <row r="32" customFormat="false" ht="14.9" hidden="false" customHeight="false" outlineLevel="0" collapsed="false">
      <c r="A32" s="8" t="s">
        <v>536</v>
      </c>
      <c r="B32" s="2" t="e">
        <f aca="false">of:=COUNTIFS('Test Cases'!B3:B400,"Read-only",'Test Cases'!H3:H400,"Pass")</f>
        <v>#VALUE!</v>
      </c>
    </row>
    <row r="33" customFormat="false" ht="14.9" hidden="false" customHeight="false" outlineLevel="0" collapsed="false">
      <c r="A33" s="8" t="s">
        <v>547</v>
      </c>
      <c r="B33" s="2" t="e">
        <f aca="false">of:=COUNTIFS('Test Cases'!B3:B400,"Dark mode",'Test Cases'!H3:H400,"Pass")</f>
        <v>#VALUE!</v>
      </c>
    </row>
    <row r="34" customFormat="false" ht="14.9" hidden="false" customHeight="false" outlineLevel="0" collapsed="false">
      <c r="A34" s="8" t="s">
        <v>553</v>
      </c>
      <c r="B34" s="2" t="e">
        <f aca="false">of:=COUNTIFS('Test Cases'!B3:B400,"Background",'Test Cases'!H3:H400,"Pass")</f>
        <v>#VALUE!</v>
      </c>
    </row>
    <row r="35" customFormat="false" ht="14.9" hidden="false" customHeight="false" outlineLevel="0" collapsed="false">
      <c r="A35" s="8" t="s">
        <v>564</v>
      </c>
      <c r="B35" s="2" t="e">
        <f aca="false">of:=COUNTIFS('Test Cases'!B3:B400,"Diagnostics",'Test Cases'!H3:H400,"Pass")</f>
        <v>#VALUE!</v>
      </c>
    </row>
    <row r="36" customFormat="false" ht="14.9" hidden="false" customHeight="false" outlineLevel="0" collapsed="false">
      <c r="A36" s="8" t="s">
        <v>574</v>
      </c>
      <c r="B36" s="2" t="e">
        <f aca="false">of:=COUNTIFS('Test Cases'!B3:B400,"Security",'Test Cases'!H3:H400,"Pass")</f>
        <v>#VALUE!</v>
      </c>
    </row>
    <row r="37" customFormat="false" ht="14.9" hidden="false" customHeight="false" outlineLevel="0" collapsed="false">
      <c r="A37" s="8" t="s">
        <v>605</v>
      </c>
      <c r="B37" s="2" t="e">
        <f aca="false">of:=COUNTIFS('Test Cases'!B3:B400,"Acknowledgements",'Test Cases'!H3:H400,"Pass")</f>
        <v>#VALUE!</v>
      </c>
    </row>
    <row r="38" customFormat="false" ht="14.9" hidden="false" customHeight="false" outlineLevel="0" collapsed="false">
      <c r="A38" s="8" t="s">
        <v>631</v>
      </c>
      <c r="B38" s="2" t="e">
        <f aca="false">of:=COUNTIFS('Test Cases'!B3:B400,"Suggestions",'Test Cases'!H3:H400,"Pass")</f>
        <v>#VALUE!</v>
      </c>
    </row>
    <row r="39" customFormat="false" ht="14.9" hidden="false" customHeight="false" outlineLevel="0" collapsed="false">
      <c r="A39" s="8" t="s">
        <v>661</v>
      </c>
      <c r="B39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686</v>
      </c>
      <c r="B1" s="1"/>
    </row>
    <row r="2" customFormat="false" ht="35.8" hidden="false" customHeight="false" outlineLevel="0" collapsed="false">
      <c r="A2" s="8" t="s">
        <v>687</v>
      </c>
      <c r="B2" s="2" t="s">
        <v>688</v>
      </c>
    </row>
    <row r="3" customFormat="false" ht="25.35" hidden="false" customHeight="false" outlineLevel="0" collapsed="false">
      <c r="A3" s="8" t="s">
        <v>689</v>
      </c>
      <c r="B3" s="2" t="s">
        <v>690</v>
      </c>
    </row>
    <row r="4" customFormat="false" ht="14.9" hidden="false" customHeight="false" outlineLevel="0" collapsed="false">
      <c r="A4" s="8" t="s">
        <v>691</v>
      </c>
      <c r="B4" s="2" t="s">
        <v>692</v>
      </c>
    </row>
    <row r="5" customFormat="false" ht="14.9" hidden="false" customHeight="false" outlineLevel="0" collapsed="false">
      <c r="A5" s="8" t="s">
        <v>693</v>
      </c>
      <c r="B5" s="2" t="s">
        <v>694</v>
      </c>
    </row>
    <row r="6" customFormat="false" ht="25.35" hidden="false" customHeight="false" outlineLevel="0" collapsed="false">
      <c r="A6" s="8" t="s">
        <v>695</v>
      </c>
      <c r="B6" s="2" t="s">
        <v>696</v>
      </c>
    </row>
    <row r="7" customFormat="false" ht="14.9" hidden="false" customHeight="false" outlineLevel="0" collapsed="false">
      <c r="A7" s="8" t="s">
        <v>697</v>
      </c>
      <c r="B7" s="2" t="s">
        <v>698</v>
      </c>
    </row>
    <row r="8" customFormat="false" ht="25.35" hidden="false" customHeight="false" outlineLevel="0" collapsed="false">
      <c r="A8" s="8" t="s">
        <v>699</v>
      </c>
      <c r="B8" s="2" t="s">
        <v>700</v>
      </c>
    </row>
    <row r="9" customFormat="false" ht="25.35" hidden="false" customHeight="false" outlineLevel="0" collapsed="false">
      <c r="A9" s="8" t="s">
        <v>701</v>
      </c>
      <c r="B9" s="2" t="s">
        <v>702</v>
      </c>
    </row>
    <row r="10" customFormat="false" ht="14.9" hidden="false" customHeight="false" outlineLevel="0" collapsed="false">
      <c r="A10" s="8" t="s">
        <v>703</v>
      </c>
      <c r="B10" s="2" t="s">
        <v>704</v>
      </c>
    </row>
    <row r="11" customFormat="false" ht="14.9" hidden="false" customHeight="false" outlineLevel="0" collapsed="false">
      <c r="A11" s="8" t="s">
        <v>705</v>
      </c>
      <c r="B11" s="2" t="s">
        <v>706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