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<sst xmlns="http://schemas.openxmlformats.org/spreadsheetml/2006/main" count="1527" uniqueCount="702">
  <si>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</si>
  <si>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127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</si>
  <si>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</si>
  <si>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</si>
  <si>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</si>
  <si>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</si>
  <si>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</si>
  <si>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</si>
  <si>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</si>
  <si>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</si>
  <si>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</si>
  <si>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</si>
  <si>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</si>
  <si>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</si>
  <si>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</si>
  <si>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</si>
  <si>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</si>
  <si>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</si>
  <si>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</si>
  <si>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</si>
  <si>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</si>
  <si>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</si>
  <si>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</si>
  <si>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</si>
  <si>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</si>
  <si>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</si>
  <si>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</si>
  <si>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</si>
  <si>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</si>
  <si>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</si>
  <si>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</si>
  <si>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</si>
  <si>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</si>
  <si>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</si>
  <si>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</si>
  <si>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</si>
  <si>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</si>
  <si>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</si>
  <si>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</si>
  <si>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</si>
  <si>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</si>
  <si>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</si>
  <si>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</si>
  <si>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</si>
  <si>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</si>
  <si>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</si>
  <si>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</si>
  <si>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</si>
  <si>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</si>
  <si>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</si>
  <si>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</si>
  <si>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</si>
  <si>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</si>
  <si>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</si>
  <si>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</si>
  <si>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</si>
  <si>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</si>
  <si>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</si>
  <si>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</si>
  <si>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</si>
  <si>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</si>
  <si>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</si>
  <si>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</si>
  <si>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</si>
  <si>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</si>
  <si>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</si>
  <si>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</si>
  <si>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</si>
  <si>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</si>
  <si>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</si>
  <si>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</si>
  <si>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</si>
  <si>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</si>
  <si>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</si>
  <si>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</si>
  <si>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</si>
  <si>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</si>
  <si>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</si>
  <si>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</si>
  <si>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</si>
  <si>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</si>
  <si>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</si>
  <si>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</si>
  <si>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</si>
  <si>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</si>
  <si>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</si>
  <si>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</si>
  <si>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</si>
  <si>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</si>
  <si>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</si>
  <si>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</si>
  <si>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</si>
  <si>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</si>
  <si>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</si>
  <si>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</si>
  <si>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</si>
  <si>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</si>
  <si>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</si>
  <si>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</si>
  <si>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</si>
  <si>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</si>
  <si>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</si>
  <si>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</si>
  <si>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</si>
  <si>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</si>
  <si>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</si>
  <si>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</si>
  <si>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</si>
  <si>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</si>
  <si>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</si>
  <si>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</si>
  <si>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</si>
  <si>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</si>
  <si>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</si>
  <si>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</si>
  <si>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</si>
  <si>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</si>
  <si>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</si>
  <si>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</si>
  <si>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</si>
  <si>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</si>
  <si>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</si>
  <si>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</si>
  <si>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</si>
  <si>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</si>
  <si>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</si>
  <si>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</si>
  <si>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</si>
  <si>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</si>
  <si>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</si>
  <si>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</si>
  <si>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</si>
  <si>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</si>
  <si>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</si>
  <si>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</si>
  <si>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</si>
  <si>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</si>
  <si>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</si>
  <si>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</si>
  <si>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</si>
  <si>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</si>
  <si>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</si>
  <si>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</si>
  <si>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</si>
  <si>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</si>
  <si>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</si>
  <si>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</si>
  <si>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</si>
  <si>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</si>
  <si>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</si>
  <si>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</si>
  <si>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</si>
  <si>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</si>
  <si>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</si>
  <si>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</si>
  <si>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</si>
  <si>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</si>
  <si>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</si>
  <si>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</si>
  <si>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</si>
  <si>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</si>
  <si>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</si>
  <si>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</si>
  <si>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</si>
  <si>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</si>
  <si>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</si>
  <si>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</si>
  <si>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</si>
  <si>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</si>
  <si>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</si>
  <si>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</si>
  <si>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</si>
  <si>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</si>
  <si>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</si>
  <si>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</si>
  <si>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</si>
  <si>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</si>
  <si>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</si>
  <si>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</si>
  <si>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</si>
  <si>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</si>
  <si>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</si>
  <si>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</si>
  <si>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</si>
  <si>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</si>
  <si>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</si>
  <si>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</si>
  <si>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</si>
  <si>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</si>
  <si>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</si>
  <si>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</si>
  <si>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</si>
  <si>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</si>
  <si>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</si>
  <si>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</si>
  <si>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</si>
  <si>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</si>
  <si>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</si>
  <si>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</si>
  <si>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</si>
  <si>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</si>
  <si>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</si>
  <si>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</si>
  <si>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</si>
  <si>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</si>
  <si>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</si>
  <si>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</si>
  <si>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</si>
  <si>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</si>
  <si>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</si>
  <si>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</si>
  <si>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</si>
  <si>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</si>
  <si>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</si>
  <si>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</si>
  <si>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</si>
  <si>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</si>
  <si>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</si>
  <si>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</si>
  <si>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</si>
  <si>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</si>
  <si>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</si>
  <si>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</si>
  <si>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</si>
  <si>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</si>
  <si>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</si>
  <si>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</si>
  <si>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</si>
  <si>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</si>
  <si>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</si>
  <si>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</si>
  <si>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</si>
  <si>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</si>
  <si>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</si>
  <si>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</si>
  <si>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</si>
  <si>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</si>
  <si>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</si>
  <si>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</si>
  <si>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</si>
  <si>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</si>
  <si>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</si>
  <si>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</si>
  <si>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</si>
  <si>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</si>
  <si>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</si>
  <si>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</si>
  <si>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</si>
  <si>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</si>
  <si>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</si>
  <si>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</si>
  <si>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</si>
  <si>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</si>
  <si>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</si>
  <si>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</si>
  <si>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</si>
  <si>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</si>
  <si>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</si>
  <si>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</si>
  <si>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</si>
  <si>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</si>
  <si>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</si>
  <si>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</si>
  <si>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</si>
  <si>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</si>
  <si>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</si>
  <si>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</si>
  <si>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</si>
  <si>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</si>
  <si>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</si>
  <si>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</si>
  <si>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</si>
  <si>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</si>
  <si>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</si>
  <si>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</si>
  <si>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</si>
  <si>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</si>
  <si>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</si>
  <si>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</si>
  <si>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</si>
  <si>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</si>
  <si>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</si>
  <si>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</si>
  <si>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</si>
  <si>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</si>
  <si>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</si>
  <si>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</si>
  <si>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</si>
  <si>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</si>
  <si>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</si>
  <si>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</si>
  <si>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</si>
  <si>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</si>
  <si>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</si>
  <si>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</si>
  <si>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</si>
  <si>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</si>
  <si>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</si>
  <si>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</si>
  <si>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</si>
  <si>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</si>
  <si>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</si>
  <si>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</si>
  <si>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</si>
  <si>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</si>
  <si>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</si>
  <si>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</si>
  <si>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</si>
  <si>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</si>
  <si>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</si>
  <si>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</si>
  <si>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</si>
  <si>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</si>
  <si>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</si>
  <si>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</si>
  <si>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</si>
  <si>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</si>
  <si>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</si>
  <si>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</si>
  <si>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</si>
  <si>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</si>
  <si>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</si>
  <si>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</si>
  <si>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</si>
  <si>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</si>
  <si>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</si>
  <si>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</si>
  <si>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</si>
  <si>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</si>
  <si>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</si>
  <si>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</si>
  <si>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</si>
  <si>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</si>
  <si>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</si>
  <si>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</si>
  <si>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</si>
  <si>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</si>
  <si>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</si>
  <si>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</si>
  <si>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</si>
  <si>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</si>
  <si>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</si>
  <si>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</si>
  <si>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</si>
  <si>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</si>
  <si>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</si>
  <si>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</si>
  <si>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</si>
  <si>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</si>
  <si>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</si>
  <si>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</si>
  <si>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</si>
  <si>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</si>
  <si>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</si>
  <si>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</si>
  <si>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</si>
  <si>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</si>
  <si>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</si>
  <si>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</si>
  <si>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</si>
  <si>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</si>
  <si>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</si>
  <si>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</si>
  <si>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</si>
  <si>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</si>
  <si>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</si>
  <si>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</si>
  <si>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</si>
  <si>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</si>
  <si>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</si>
  <si>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</si>
  <si>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</si>
  <si>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</si>
  <si>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</si>
  <si>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</si>
  <si>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</si>
  <si>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</si>
  <si>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</si>
  <si>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</si>
  <si>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</si>
  <si>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</si>
  <si>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</si>
  <si>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</si>
  <si>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M-03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</si>
  <si>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</si>
  <si>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</si>
  <si>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</si>
  <si>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</si>
  <si>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M-04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</si>
  <si>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</si>
  <si>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</si>
  <si>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</si>
  <si>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</si>
  <si>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M-05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</si>
  <si>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</si>
  <si>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</si>
  <si>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</si>
  <si>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</si>
  <si>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</si>
  <si>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</si>
  <si>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</si>
  <si>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</si>
  <si>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</si>
  <si>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</si>
  <si>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</si>
  <si>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</si>
  <si>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</si>
  <si>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</si>
  <si>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</si>
  <si>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</si>
  <si>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</si>
  <si>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</si>
  <si>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</si>
  <si>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</si>
  <si>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</si>
  <si>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</si>
  <si>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</si>
  <si>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</si>
  <si>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</si>
  <si>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</si>
  <si>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</si>
  <si>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</si>
  <si>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</si>
  <si>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</si>
  <si>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</si>
  <si>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</si>
  <si>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</si>
  <si>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</si>
  <si>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</si>
  <si>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</si>
  <si>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</si>
  <si>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</si>
  <si>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</si>
  <si>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</si>
  <si>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</si>
  <si>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</si>
  <si>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</si>
  <si>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</si>
  <si>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</si>
  <si>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</si>
  <si>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</si>
  <si>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</si>
  <si>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</si>
  <si>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</si>
  <si>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</si>
  <si>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</si>
  <si>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</si>
  <si>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</si>
  <si>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</si>
  <si>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</si>
  <si>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</si>
  <si>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</si>
  <si>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</si>
  <si>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</si>
  <si>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</si>
  <si>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</si>
  <si>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</si>
  <si>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</si>
  <si>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</si>
  <si>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</si>
  <si>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</si>
  <si>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</si>
  <si>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</si>
  <si>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</si>
  <si>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</si>
  <si>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</si>
  <si>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</si>
  <si>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</si>
  <si>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</si>
  <si>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</si>
  <si>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</si>
  <si>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</si>
  <si>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</si>
  <si>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</si>
  <si>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</si>
  <si>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</si>
  <si>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</si>
  <si>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</si>
  <si>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</si>
  <si>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</si>
  <si>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</si>
  <si>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</si>
  <si>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</si>
  <si>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</si>
  <si>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</si>
  <si>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</si>
  <si>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</si>
  <si>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</si>
  <si>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</si>
  <si>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</si>
  <si>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</si>
  <si>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</si>
  <si>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</si>
  <si>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</si>
  <si>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</si>
  <si>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</si>
  <si>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</si>
  <si>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</si>
  <si>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</si>
  <si>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</si>
  <si>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</si>
  <si>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</si>
  <si>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</si>
  <si>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</si>
  <si>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</si>
  <si>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</si>
  <si>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</si>
  <si>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</si>
  <si>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</si>
  <si>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</si>
  <si>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</si>
  <si>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</si>
  <si>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</si>
  <si>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</si>
  <si>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</si>
  <si>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</si>
  <si>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</si>
  <si>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</si>
  <si>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</si>
  <si>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</si>
  <si>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</si>
  <si>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</si>
  <si>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</si>
  <si>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</si>
  <si>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</si>
  <si>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</si>
  <si>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</si>
  <si>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</si>
  <si>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</si>
  <si>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</si>
  <si>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</si>
  <si>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</si>
  <si>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</si>
  <si>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</si>
  <si>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</si>
  <si>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</si>
  <si>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</si>
  <si>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</si>
  <si>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</si>
  <si>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</si>
  <si>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</si>
  <si>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</si>
  <si>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</si>
  <si>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</si>
  <si>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</si>
  <si>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</si>
  <si>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</si>
  <si>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</si>
  <si>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</si>
  <si>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</si>
  <si>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</si>
  <si>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</si>
  <si>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</si>
  <si>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</si>
  <si>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</si>
  <si>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</si>
  <si>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</si>
  <si>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</si>
  <si>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</si>
  <si>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</si>
  <si>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</si>
  <si>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</si>
  <si>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</si>
  <si>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</si>
  <si>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</si>
  <si>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</si>
  <si>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</si>
  <si>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</si>
  <si>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</si>
  <si>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</si>
  <si>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</si>
  <si>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</si>
  <si>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</si>
  <si>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</si>
  <si>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</si>
  <si>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</si>
  <si>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</si>
  <si>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</si>
  <si>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</si>
  <si>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</si>
  <si>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</si>
  <si>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</si>
  <si>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</si>
  <si>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</si>
  <si>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</si>
  <si>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</si>
  <si>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</si>
  <si>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</si>
  <si>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</si>
  <si>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</si>
  <si>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</si>
  <si>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</si>
  <si>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</si>
  <si>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</si>
  <si>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</si>
  <si>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</si>
  <si>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</si>
  <si>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</si>
  <si>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</si>
  <si>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</si>
  <si>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</si>
  <si>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</si>
  <si>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</si>
  <si>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</si>
  <si>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</si>
  <si>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</si>
  <si>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</si>
  <si>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</si>
  <si>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</si>
  <si>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</si>
  <si>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</si>
  <si>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</si>
  <si>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</si>
  <si>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</si>
  <si>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</si>
  <si>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</si>
  <si>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</si>
  <si>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</si>
  <si>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</si>
  <si>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</si>
  <si>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</si>
  <si>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</si>
  <si>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</si>
  <si>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</si>
  <si>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</si>
  <si>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</si>
  <si>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Suggestions</t>
  </si>
  <si>
    <t xml:space="preserve">S-07</t>
  </si>
  <si>
    <t xml:space="preserve">Member suggests an edit</t>
  </si>
  <si>
    <t xml:space="preserve">Member (read-only viewer)</t>
  </si>
  <si>
    <t xml:space="preserve">Click 'Suggest edit' on a template; change the text + add a reason; Send</t>
  </si>
  <si>
    <t xml:space="preserve">Confirmation shown; a NucleusTemplateChangeRequest__c (Pending) is created by you. Template itself is unchanged</t>
  </si>
  <si>
    <t xml:space="preserve">S-08</t>
  </si>
  <si>
    <t xml:space="preserve">Admin sees pending</t>
  </si>
  <si>
    <t xml:space="preserve">Admin; a suggestion exists</t>
  </si>
  <si>
    <t xml:space="preserve">Open the manager</t>
  </si>
  <si>
    <t xml:space="preserve">'Suggestions' tab appears with a count badge; the suggestion is listed with submitter + reason</t>
  </si>
  <si>
    <t xml:space="preserve">S-09</t>
  </si>
  <si>
    <t xml:space="preserve">Diff</t>
  </si>
  <si>
    <t xml:space="preserve">Admin; Suggestions tab</t>
  </si>
  <si>
    <t xml:space="preserve">Click 'View diff'</t>
  </si>
  <si>
    <t xml:space="preserve">Side-by-side added/removed lines: suggested vs current version</t>
  </si>
  <si>
    <t xml:space="preserve">S-10</t>
  </si>
  <si>
    <t xml:space="preserve">Apply</t>
  </si>
  <si>
    <t xml:space="preserve">Admin; a suggestion</t>
  </si>
  <si>
    <t xml:space="preserve">Click 'Apply…'</t>
  </si>
  <si>
    <t xml:space="preserve">Request marked Approved; editor opens prefilled with the proposed content + a change reason; Saving publishes a normal new version</t>
  </si>
  <si>
    <t xml:space="preserve">S-11</t>
  </si>
  <si>
    <t xml:space="preserve">Reject</t>
  </si>
  <si>
    <t xml:space="preserve">Click 'Reject' and confirm</t>
  </si>
  <si>
    <t xml:space="preserve">Request marked Rejected; it leaves the pending list; template unchanged</t>
  </si>
  <si>
    <t xml:space="preserve">S-12</t>
  </si>
  <si>
    <t xml:space="preserve">Admin nudge</t>
  </si>
  <si>
    <t xml:space="preserve">Pending suggestions exist</t>
  </si>
  <si>
    <t xml:space="preserve">Trigger a background sync</t>
  </si>
  <si>
    <t xml:space="preserve">At most one browser notification per day to admins; clicking opens the manager</t>
  </si>
  <si>
    <t xml:space="preserve">UX</t>
  </si>
  <si>
    <t xml:space="preserve">U-05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</si>
  <si>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</si>
  <si>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</si>
  <si>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</si>
  <si>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</si>
  <si>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U-06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</si>
  <si>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</si>
  <si>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</si>
  <si>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</si>
  <si>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</si>
  <si>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U-07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</si>
  <si>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</si>
  <si>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</si>
  <si>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</si>
  <si>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</si>
  <si>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U-08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</si>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</sst>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14.55" hidden="false" customHeight="false" outlineLevel="0" collapsed="false">
      <c r="A27" s="11" t="s">
        <v>140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25.35" hidden="false" customHeight="false" outlineLevel="0" collapsed="false">
      <c r="A28" s="2" t="s">
        <v>141</v>
      </c>
      <c r="B28" s="2" t="s">
        <v>140</v>
      </c>
      <c r="C28" s="2" t="s">
        <v>142</v>
      </c>
      <c r="D28" s="2" t="s">
        <v>57</v>
      </c>
      <c r="E28" s="2" t="s">
        <v>143</v>
      </c>
      <c r="F28" s="2" t="s">
        <v>144</v>
      </c>
      <c r="G28" s="2" t="s">
        <v>145</v>
      </c>
      <c r="H28" s="12" t="s">
        <v>43</v>
      </c>
      <c r="I28" s="2" t="s">
        <v>43</v>
      </c>
      <c r="J28" s="2" t="s">
        <v>43</v>
      </c>
      <c r="K28" s="2" t="s">
        <v>43</v>
      </c>
    </row>
    <row r="29" customFormat="false" ht="35.8" hidden="false" customHeight="false" outlineLevel="0" collapsed="false">
      <c r="A29" s="2" t="s">
        <v>146</v>
      </c>
      <c r="B29" s="2" t="s">
        <v>140</v>
      </c>
      <c r="C29" s="2" t="s">
        <v>147</v>
      </c>
      <c r="D29" s="2" t="s">
        <v>51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140</v>
      </c>
      <c r="C30" s="2" t="s">
        <v>152</v>
      </c>
      <c r="D30" s="2" t="s">
        <v>57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14.55" hidden="false" customHeight="false" outlineLevel="0" collapsed="false">
      <c r="A31" s="11" t="s">
        <v>156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25.35" hidden="false" customHeight="false" outlineLevel="0" collapsed="false">
      <c r="A32" s="2" t="s">
        <v>157</v>
      </c>
      <c r="B32" s="2" t="s">
        <v>156</v>
      </c>
      <c r="C32" s="2" t="s">
        <v>158</v>
      </c>
      <c r="D32" s="2" t="s">
        <v>57</v>
      </c>
      <c r="E32" s="2" t="s">
        <v>159</v>
      </c>
      <c r="F32" s="2" t="s">
        <v>160</v>
      </c>
      <c r="G32" s="2" t="s">
        <v>161</v>
      </c>
      <c r="H32" s="12" t="s">
        <v>43</v>
      </c>
      <c r="I32" s="2" t="s">
        <v>43</v>
      </c>
      <c r="J32" s="2" t="s">
        <v>43</v>
      </c>
      <c r="K32" s="2" t="s">
        <v>43</v>
      </c>
    </row>
    <row r="33" customFormat="false" ht="14.55" hidden="false" customHeight="false" outlineLevel="0" collapsed="false">
      <c r="A33" s="11" t="s">
        <v>162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25.35" hidden="false" customHeight="false" outlineLevel="0" collapsed="false">
      <c r="A34" s="2" t="s">
        <v>163</v>
      </c>
      <c r="B34" s="2" t="s">
        <v>162</v>
      </c>
      <c r="C34" s="2" t="s">
        <v>164</v>
      </c>
      <c r="D34" s="2" t="s">
        <v>57</v>
      </c>
      <c r="E34" s="2" t="s">
        <v>165</v>
      </c>
      <c r="F34" s="2" t="s">
        <v>166</v>
      </c>
      <c r="G34" s="2" t="s">
        <v>167</v>
      </c>
      <c r="H34" s="12" t="s">
        <v>43</v>
      </c>
      <c r="I34" s="2" t="s">
        <v>43</v>
      </c>
      <c r="J34" s="2" t="s">
        <v>43</v>
      </c>
      <c r="K34" s="2" t="s">
        <v>43</v>
      </c>
    </row>
    <row r="35" customFormat="false" ht="14.9" hidden="false" customHeight="false" outlineLevel="0" collapsed="false">
      <c r="A35" s="2" t="s">
        <v>168</v>
      </c>
      <c r="B35" s="2" t="s">
        <v>162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55" hidden="false" customHeight="false" outlineLevel="0" collapsed="false">
      <c r="A36" s="11" t="s">
        <v>173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25.35" hidden="false" customHeight="false" outlineLevel="0" collapsed="false">
      <c r="A37" s="2" t="s">
        <v>174</v>
      </c>
      <c r="B37" s="2" t="s">
        <v>173</v>
      </c>
      <c r="C37" s="2" t="s">
        <v>175</v>
      </c>
      <c r="D37" s="2" t="s">
        <v>51</v>
      </c>
      <c r="E37" s="2" t="s">
        <v>119</v>
      </c>
      <c r="F37" s="2" t="s">
        <v>176</v>
      </c>
      <c r="G37" s="2" t="s">
        <v>177</v>
      </c>
      <c r="H37" s="12" t="s">
        <v>43</v>
      </c>
      <c r="I37" s="2" t="s">
        <v>43</v>
      </c>
      <c r="J37" s="2" t="s">
        <v>43</v>
      </c>
      <c r="K37" s="2" t="s">
        <v>43</v>
      </c>
    </row>
    <row r="38" customFormat="false" ht="25.35" hidden="false" customHeight="false" outlineLevel="0" collapsed="false">
      <c r="A38" s="2" t="s">
        <v>178</v>
      </c>
      <c r="B38" s="2" t="s">
        <v>173</v>
      </c>
      <c r="C38" s="2" t="s">
        <v>179</v>
      </c>
      <c r="D38" s="2" t="s">
        <v>39</v>
      </c>
      <c r="E38" s="2" t="s">
        <v>180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173</v>
      </c>
      <c r="C39" s="2" t="s">
        <v>184</v>
      </c>
      <c r="D39" s="2" t="s">
        <v>51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14.9" hidden="false" customHeight="false" outlineLevel="0" collapsed="false">
      <c r="A40" s="2" t="s">
        <v>188</v>
      </c>
      <c r="B40" s="2" t="s">
        <v>173</v>
      </c>
      <c r="C40" s="2" t="s">
        <v>189</v>
      </c>
      <c r="D40" s="2" t="s">
        <v>57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55" hidden="false" customHeight="false" outlineLevel="0" collapsed="false">
      <c r="A41" s="11" t="s">
        <v>193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25.35" hidden="false" customHeight="false" outlineLevel="0" collapsed="false">
      <c r="A42" s="2" t="s">
        <v>194</v>
      </c>
      <c r="B42" s="2" t="s">
        <v>193</v>
      </c>
      <c r="C42" s="2" t="s">
        <v>195</v>
      </c>
      <c r="D42" s="2" t="s">
        <v>57</v>
      </c>
      <c r="E42" s="2" t="s">
        <v>196</v>
      </c>
      <c r="F42" s="2" t="s">
        <v>84</v>
      </c>
      <c r="G42" s="2" t="s">
        <v>197</v>
      </c>
      <c r="H42" s="12" t="s">
        <v>43</v>
      </c>
      <c r="I42" s="2" t="s">
        <v>43</v>
      </c>
      <c r="J42" s="2" t="s">
        <v>43</v>
      </c>
      <c r="K42" s="2" t="s">
        <v>43</v>
      </c>
    </row>
    <row r="43" customFormat="false" ht="14.9" hidden="false" customHeight="false" outlineLevel="0" collapsed="false">
      <c r="A43" s="2" t="s">
        <v>198</v>
      </c>
      <c r="B43" s="2" t="s">
        <v>193</v>
      </c>
      <c r="C43" s="2" t="s">
        <v>199</v>
      </c>
      <c r="D43" s="2" t="s">
        <v>57</v>
      </c>
      <c r="E43" s="2" t="s">
        <v>200</v>
      </c>
      <c r="F43" s="2" t="s">
        <v>84</v>
      </c>
      <c r="G43" s="2" t="s">
        <v>201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202</v>
      </c>
      <c r="B44" s="2" t="s">
        <v>193</v>
      </c>
      <c r="C44" s="2" t="s">
        <v>203</v>
      </c>
      <c r="D44" s="2" t="s">
        <v>57</v>
      </c>
      <c r="E44" s="2" t="s">
        <v>119</v>
      </c>
      <c r="F44" s="2" t="s">
        <v>204</v>
      </c>
      <c r="G44" s="2" t="s">
        <v>205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55" hidden="false" customHeight="false" outlineLevel="0" collapsed="false">
      <c r="A45" s="11" t="s">
        <v>206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customFormat="false" ht="25.35" hidden="false" customHeight="false" outlineLevel="0" collapsed="false">
      <c r="A46" s="2" t="s">
        <v>207</v>
      </c>
      <c r="B46" s="2" t="s">
        <v>206</v>
      </c>
      <c r="C46" s="2" t="s">
        <v>208</v>
      </c>
      <c r="D46" s="2" t="s">
        <v>39</v>
      </c>
      <c r="E46" s="2" t="s">
        <v>209</v>
      </c>
      <c r="F46" s="2" t="s">
        <v>210</v>
      </c>
      <c r="G46" s="2" t="s">
        <v>211</v>
      </c>
      <c r="H46" s="12" t="s">
        <v>43</v>
      </c>
      <c r="I46" s="2" t="s">
        <v>43</v>
      </c>
      <c r="J46" s="2" t="s">
        <v>43</v>
      </c>
      <c r="K46" s="2" t="s">
        <v>43</v>
      </c>
    </row>
    <row r="47" customFormat="false" ht="25.35" hidden="false" customHeight="false" outlineLevel="0" collapsed="false">
      <c r="A47" s="2" t="s">
        <v>212</v>
      </c>
      <c r="B47" s="2" t="s">
        <v>206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206</v>
      </c>
      <c r="C48" s="2" t="s">
        <v>218</v>
      </c>
      <c r="D48" s="2" t="s">
        <v>51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206</v>
      </c>
      <c r="C49" s="2" t="s">
        <v>223</v>
      </c>
      <c r="D49" s="2" t="s">
        <v>39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206</v>
      </c>
      <c r="C50" s="2" t="s">
        <v>228</v>
      </c>
      <c r="D50" s="2" t="s">
        <v>51</v>
      </c>
      <c r="E50" s="2" t="s">
        <v>229</v>
      </c>
      <c r="F50" s="2" t="s">
        <v>206</v>
      </c>
      <c r="G50" s="2" t="s">
        <v>230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35.8" hidden="false" customHeight="false" outlineLevel="0" collapsed="false">
      <c r="A51" s="2" t="s">
        <v>231</v>
      </c>
      <c r="B51" s="2" t="s">
        <v>206</v>
      </c>
      <c r="C51" s="2" t="s">
        <v>232</v>
      </c>
      <c r="D51" s="2" t="s">
        <v>39</v>
      </c>
      <c r="E51" s="2" t="s">
        <v>233</v>
      </c>
      <c r="F51" s="2" t="s">
        <v>234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25.35" hidden="false" customHeight="false" outlineLevel="0" collapsed="false">
      <c r="A52" s="2" t="s">
        <v>236</v>
      </c>
      <c r="B52" s="2" t="s">
        <v>206</v>
      </c>
      <c r="C52" s="2" t="s">
        <v>237</v>
      </c>
      <c r="D52" s="2" t="s">
        <v>51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206</v>
      </c>
      <c r="C53" s="2" t="s">
        <v>242</v>
      </c>
      <c r="D53" s="2" t="s">
        <v>51</v>
      </c>
      <c r="E53" s="2" t="s">
        <v>243</v>
      </c>
      <c r="F53" s="2" t="s">
        <v>206</v>
      </c>
      <c r="G53" s="2" t="s">
        <v>244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245</v>
      </c>
      <c r="B54" s="2" t="s">
        <v>206</v>
      </c>
      <c r="C54" s="2" t="s">
        <v>246</v>
      </c>
      <c r="D54" s="2" t="s">
        <v>39</v>
      </c>
      <c r="E54" s="2" t="s">
        <v>247</v>
      </c>
      <c r="F54" s="2" t="s">
        <v>248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14.9" hidden="false" customHeight="false" outlineLevel="0" collapsed="false">
      <c r="A55" s="2" t="s">
        <v>250</v>
      </c>
      <c r="B55" s="2" t="s">
        <v>206</v>
      </c>
      <c r="C55" s="2" t="s">
        <v>251</v>
      </c>
      <c r="D55" s="2" t="s">
        <v>51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55" hidden="false" customHeight="false" outlineLevel="0" collapsed="false">
      <c r="A56" s="11" t="s">
        <v>255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customFormat="false" ht="14.9" hidden="false" customHeight="false" outlineLevel="0" collapsed="false">
      <c r="A57" s="2" t="s">
        <v>256</v>
      </c>
      <c r="B57" s="2" t="s">
        <v>255</v>
      </c>
      <c r="C57" s="2" t="s">
        <v>257</v>
      </c>
      <c r="D57" s="2" t="s">
        <v>39</v>
      </c>
      <c r="E57" s="2" t="s">
        <v>258</v>
      </c>
      <c r="F57" s="2" t="s">
        <v>259</v>
      </c>
      <c r="G57" s="2" t="s">
        <v>260</v>
      </c>
      <c r="H57" s="12" t="s">
        <v>43</v>
      </c>
      <c r="I57" s="2" t="s">
        <v>43</v>
      </c>
      <c r="J57" s="2" t="s">
        <v>43</v>
      </c>
      <c r="K57" s="2" t="s">
        <v>43</v>
      </c>
    </row>
    <row r="58" customFormat="false" ht="25.35" hidden="false" customHeight="false" outlineLevel="0" collapsed="false">
      <c r="A58" s="2" t="s">
        <v>261</v>
      </c>
      <c r="B58" s="2" t="s">
        <v>255</v>
      </c>
      <c r="C58" s="2" t="s">
        <v>262</v>
      </c>
      <c r="D58" s="2" t="s">
        <v>51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25.35" hidden="false" customHeight="false" outlineLevel="0" collapsed="false">
      <c r="A59" s="2" t="s">
        <v>266</v>
      </c>
      <c r="B59" s="2" t="s">
        <v>255</v>
      </c>
      <c r="C59" s="2" t="s">
        <v>267</v>
      </c>
      <c r="D59" s="2" t="s">
        <v>51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25.35" hidden="false" customHeight="false" outlineLevel="0" collapsed="false">
      <c r="A60" s="2" t="s">
        <v>271</v>
      </c>
      <c r="B60" s="2" t="s">
        <v>255</v>
      </c>
      <c r="C60" s="2" t="s">
        <v>272</v>
      </c>
      <c r="D60" s="2" t="s">
        <v>57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35.8" hidden="false" customHeight="false" outlineLevel="0" collapsed="false">
      <c r="A61" s="2" t="s">
        <v>276</v>
      </c>
      <c r="B61" s="2" t="s">
        <v>255</v>
      </c>
      <c r="C61" s="2" t="s">
        <v>277</v>
      </c>
      <c r="D61" s="2" t="s">
        <v>39</v>
      </c>
      <c r="E61" s="2" t="s">
        <v>278</v>
      </c>
      <c r="F61" s="2" t="s">
        <v>279</v>
      </c>
      <c r="G61" s="2" t="s">
        <v>280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25.35" hidden="false" customHeight="false" outlineLevel="0" collapsed="false">
      <c r="A62" s="2" t="s">
        <v>281</v>
      </c>
      <c r="B62" s="2" t="s">
        <v>255</v>
      </c>
      <c r="C62" s="2" t="s">
        <v>282</v>
      </c>
      <c r="D62" s="2" t="s">
        <v>39</v>
      </c>
      <c r="E62" s="2" t="s">
        <v>283</v>
      </c>
      <c r="F62" s="2" t="s">
        <v>284</v>
      </c>
      <c r="G62" s="2" t="s">
        <v>285</v>
      </c>
      <c r="H62" s="12" t="s">
        <v>43</v>
      </c>
      <c r="I62" s="2" t="s">
        <v>43</v>
      </c>
      <c r="J62" s="2" t="s">
        <v>43</v>
      </c>
      <c r="K62" s="2" t="s">
        <v>43</v>
      </c>
    </row>
    <row r="63" customFormat="false" ht="25.35" hidden="false" customHeight="false" outlineLevel="0" collapsed="false">
      <c r="A63" s="2" t="s">
        <v>286</v>
      </c>
      <c r="B63" s="2" t="s">
        <v>255</v>
      </c>
      <c r="C63" s="2" t="s">
        <v>287</v>
      </c>
      <c r="D63" s="2" t="s">
        <v>57</v>
      </c>
      <c r="E63" s="2" t="s">
        <v>288</v>
      </c>
      <c r="F63" s="2" t="s">
        <v>274</v>
      </c>
      <c r="G63" s="2" t="s">
        <v>289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14.55" hidden="false" customHeight="false" outlineLevel="0" collapsed="false">
      <c r="A64" s="11" t="s">
        <v>290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customFormat="false" ht="25.35" hidden="false" customHeight="false" outlineLevel="0" collapsed="false">
      <c r="A65" s="2" t="s">
        <v>291</v>
      </c>
      <c r="B65" s="2" t="s">
        <v>290</v>
      </c>
      <c r="C65" s="2" t="s">
        <v>292</v>
      </c>
      <c r="D65" s="2" t="s">
        <v>39</v>
      </c>
      <c r="E65" s="2" t="s">
        <v>293</v>
      </c>
      <c r="F65" s="2" t="s">
        <v>294</v>
      </c>
      <c r="G65" s="2" t="s">
        <v>295</v>
      </c>
      <c r="H65" s="12" t="s">
        <v>43</v>
      </c>
      <c r="I65" s="2" t="s">
        <v>43</v>
      </c>
      <c r="J65" s="2" t="s">
        <v>43</v>
      </c>
      <c r="K65" s="2" t="s">
        <v>43</v>
      </c>
    </row>
    <row r="66" customFormat="false" ht="25.35" hidden="false" customHeight="false" outlineLevel="0" collapsed="false">
      <c r="A66" s="2" t="s">
        <v>296</v>
      </c>
      <c r="B66" s="2" t="s">
        <v>290</v>
      </c>
      <c r="C66" s="2" t="s">
        <v>297</v>
      </c>
      <c r="D66" s="2" t="s">
        <v>39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25.35" hidden="false" customHeight="false" outlineLevel="0" collapsed="false">
      <c r="A67" s="2" t="s">
        <v>301</v>
      </c>
      <c r="B67" s="2" t="s">
        <v>290</v>
      </c>
      <c r="C67" s="2" t="s">
        <v>302</v>
      </c>
      <c r="D67" s="2" t="s">
        <v>51</v>
      </c>
      <c r="E67" s="2" t="s">
        <v>303</v>
      </c>
      <c r="F67" s="2" t="s">
        <v>299</v>
      </c>
      <c r="G67" s="2" t="s">
        <v>304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14.9" hidden="false" customHeight="false" outlineLevel="0" collapsed="false">
      <c r="A68" s="2" t="s">
        <v>305</v>
      </c>
      <c r="B68" s="2" t="s">
        <v>290</v>
      </c>
      <c r="C68" s="2" t="s">
        <v>306</v>
      </c>
      <c r="D68" s="2" t="s">
        <v>51</v>
      </c>
      <c r="E68" s="2" t="s">
        <v>307</v>
      </c>
      <c r="F68" s="2" t="s">
        <v>299</v>
      </c>
      <c r="G68" s="2" t="s">
        <v>308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25.35" hidden="false" customHeight="false" outlineLevel="0" collapsed="false">
      <c r="A69" s="2" t="s">
        <v>309</v>
      </c>
      <c r="B69" s="2" t="s">
        <v>290</v>
      </c>
      <c r="C69" s="2" t="s">
        <v>310</v>
      </c>
      <c r="D69" s="2" t="s">
        <v>57</v>
      </c>
      <c r="E69" s="2" t="s">
        <v>311</v>
      </c>
      <c r="F69" s="2" t="s">
        <v>299</v>
      </c>
      <c r="G69" s="2" t="s">
        <v>312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14.55" hidden="false" customHeight="false" outlineLevel="0" collapsed="false">
      <c r="A70" s="11" t="s">
        <v>313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customFormat="false" ht="35.8" hidden="false" customHeight="false" outlineLevel="0" collapsed="false">
      <c r="A71" s="2" t="s">
        <v>314</v>
      </c>
      <c r="B71" s="2" t="s">
        <v>313</v>
      </c>
      <c r="C71" s="2" t="s">
        <v>315</v>
      </c>
      <c r="D71" s="2" t="s">
        <v>57</v>
      </c>
      <c r="E71" s="2" t="s">
        <v>316</v>
      </c>
      <c r="F71" s="2" t="s">
        <v>317</v>
      </c>
      <c r="G71" s="2" t="s">
        <v>318</v>
      </c>
      <c r="H71" s="12" t="s">
        <v>43</v>
      </c>
      <c r="I71" s="2" t="s">
        <v>43</v>
      </c>
      <c r="J71" s="2" t="s">
        <v>43</v>
      </c>
      <c r="K71" s="2" t="s">
        <v>43</v>
      </c>
    </row>
    <row r="72" customFormat="false" ht="14.55" hidden="false" customHeight="false" outlineLevel="0" collapsed="false">
      <c r="A72" s="11" t="s">
        <v>319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customFormat="false" ht="25.35" hidden="false" customHeight="false" outlineLevel="0" collapsed="false">
      <c r="A73" s="2" t="s">
        <v>320</v>
      </c>
      <c r="B73" s="2" t="s">
        <v>319</v>
      </c>
      <c r="C73" s="2" t="s">
        <v>321</v>
      </c>
      <c r="D73" s="2" t="s">
        <v>51</v>
      </c>
      <c r="E73" s="2" t="s">
        <v>322</v>
      </c>
      <c r="F73" s="2" t="s">
        <v>323</v>
      </c>
      <c r="G73" s="2" t="s">
        <v>324</v>
      </c>
      <c r="H73" s="12" t="s">
        <v>43</v>
      </c>
      <c r="I73" s="2" t="s">
        <v>43</v>
      </c>
      <c r="J73" s="2" t="s">
        <v>43</v>
      </c>
      <c r="K73" s="2" t="s">
        <v>43</v>
      </c>
    </row>
    <row r="74" customFormat="false" ht="25.35" hidden="false" customHeight="false" outlineLevel="0" collapsed="false">
      <c r="A74" s="2" t="s">
        <v>325</v>
      </c>
      <c r="B74" s="2" t="s">
        <v>319</v>
      </c>
      <c r="C74" s="2" t="s">
        <v>326</v>
      </c>
      <c r="D74" s="2" t="s">
        <v>57</v>
      </c>
      <c r="E74" s="2" t="s">
        <v>327</v>
      </c>
      <c r="F74" s="2" t="s">
        <v>328</v>
      </c>
      <c r="G74" s="2" t="s">
        <v>329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35.8" hidden="false" customHeight="false" outlineLevel="0" collapsed="false">
      <c r="A75" s="2" t="s">
        <v>330</v>
      </c>
      <c r="B75" s="2" t="s">
        <v>319</v>
      </c>
      <c r="C75" s="2" t="s">
        <v>331</v>
      </c>
      <c r="D75" s="2" t="s">
        <v>39</v>
      </c>
      <c r="E75" s="2" t="s">
        <v>332</v>
      </c>
      <c r="F75" s="2" t="s">
        <v>333</v>
      </c>
      <c r="G75" s="2" t="s">
        <v>334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35.8" hidden="false" customHeight="false" outlineLevel="0" collapsed="false">
      <c r="A76" s="2" t="s">
        <v>335</v>
      </c>
      <c r="B76" s="2" t="s">
        <v>319</v>
      </c>
      <c r="C76" s="2" t="s">
        <v>336</v>
      </c>
      <c r="D76" s="2" t="s">
        <v>57</v>
      </c>
      <c r="E76" s="2" t="s">
        <v>337</v>
      </c>
      <c r="F76" s="2" t="s">
        <v>338</v>
      </c>
      <c r="G76" s="2" t="s">
        <v>339</v>
      </c>
      <c r="H76" s="12" t="s">
        <v>43</v>
      </c>
      <c r="I76" s="2" t="s">
        <v>43</v>
      </c>
      <c r="J76" s="2" t="s">
        <v>43</v>
      </c>
      <c r="K76" s="2" t="s">
        <v>43</v>
      </c>
    </row>
    <row r="77" customFormat="false" ht="14.55" hidden="false" customHeight="false" outlineLevel="0" collapsed="false">
      <c r="A77" s="11" t="s">
        <v>340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customFormat="false" ht="25.35" hidden="false" customHeight="false" outlineLevel="0" collapsed="false">
      <c r="A78" s="2" t="s">
        <v>341</v>
      </c>
      <c r="B78" s="2" t="s">
        <v>340</v>
      </c>
      <c r="C78" s="2" t="s">
        <v>342</v>
      </c>
      <c r="D78" s="2" t="s">
        <v>51</v>
      </c>
      <c r="E78" s="2" t="s">
        <v>343</v>
      </c>
      <c r="F78" s="2" t="s">
        <v>344</v>
      </c>
      <c r="G78" s="2" t="s">
        <v>345</v>
      </c>
      <c r="H78" s="12" t="s">
        <v>43</v>
      </c>
      <c r="I78" s="2" t="s">
        <v>43</v>
      </c>
      <c r="J78" s="2" t="s">
        <v>43</v>
      </c>
      <c r="K78" s="2" t="s">
        <v>43</v>
      </c>
    </row>
    <row r="79" customFormat="false" ht="25.35" hidden="false" customHeight="false" outlineLevel="0" collapsed="false">
      <c r="A79" s="2" t="s">
        <v>346</v>
      </c>
      <c r="B79" s="2" t="s">
        <v>340</v>
      </c>
      <c r="C79" s="2" t="s">
        <v>347</v>
      </c>
      <c r="D79" s="2" t="s">
        <v>57</v>
      </c>
      <c r="E79" s="2" t="s">
        <v>348</v>
      </c>
      <c r="F79" s="2" t="s">
        <v>349</v>
      </c>
      <c r="G79" s="2" t="s">
        <v>350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14.55" hidden="false" customHeight="false" outlineLevel="0" collapsed="false">
      <c r="A80" s="11" t="s">
        <v>351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customFormat="false" ht="25.35" hidden="false" customHeight="false" outlineLevel="0" collapsed="false">
      <c r="A81" s="2" t="s">
        <v>352</v>
      </c>
      <c r="B81" s="2" t="s">
        <v>351</v>
      </c>
      <c r="C81" s="2" t="s">
        <v>353</v>
      </c>
      <c r="D81" s="2" t="s">
        <v>39</v>
      </c>
      <c r="E81" s="2" t="s">
        <v>354</v>
      </c>
      <c r="F81" s="2" t="s">
        <v>355</v>
      </c>
      <c r="G81" s="2" t="s">
        <v>356</v>
      </c>
      <c r="H81" s="12" t="s">
        <v>43</v>
      </c>
      <c r="I81" s="2" t="s">
        <v>43</v>
      </c>
      <c r="J81" s="2" t="s">
        <v>43</v>
      </c>
      <c r="K81" s="2" t="s">
        <v>43</v>
      </c>
    </row>
    <row r="82" customFormat="false" ht="25.35" hidden="false" customHeight="false" outlineLevel="0" collapsed="false">
      <c r="A82" s="2" t="s">
        <v>357</v>
      </c>
      <c r="B82" s="2" t="s">
        <v>351</v>
      </c>
      <c r="C82" s="2" t="s">
        <v>358</v>
      </c>
      <c r="D82" s="2" t="s">
        <v>51</v>
      </c>
      <c r="E82" s="2" t="s">
        <v>359</v>
      </c>
      <c r="F82" s="2" t="s">
        <v>360</v>
      </c>
      <c r="G82" s="2" t="s">
        <v>361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25.35" hidden="false" customHeight="false" outlineLevel="0" collapsed="false">
      <c r="A83" s="2" t="s">
        <v>362</v>
      </c>
      <c r="B83" s="2" t="s">
        <v>351</v>
      </c>
      <c r="C83" s="2" t="s">
        <v>363</v>
      </c>
      <c r="D83" s="2" t="s">
        <v>51</v>
      </c>
      <c r="E83" s="2" t="s">
        <v>364</v>
      </c>
      <c r="F83" s="2" t="s">
        <v>365</v>
      </c>
      <c r="G83" s="2" t="s">
        <v>366</v>
      </c>
      <c r="H83" s="12" t="s">
        <v>43</v>
      </c>
      <c r="I83" s="2" t="s">
        <v>43</v>
      </c>
      <c r="J83" s="2" t="s">
        <v>43</v>
      </c>
      <c r="K83" s="2" t="s">
        <v>43</v>
      </c>
    </row>
    <row r="84" customFormat="false" ht="25.35" hidden="false" customHeight="false" outlineLevel="0" collapsed="false">
      <c r="A84" s="2" t="s">
        <v>367</v>
      </c>
      <c r="B84" s="2" t="s">
        <v>351</v>
      </c>
      <c r="C84" s="2" t="s">
        <v>368</v>
      </c>
      <c r="D84" s="2" t="s">
        <v>39</v>
      </c>
      <c r="E84" s="2" t="s">
        <v>369</v>
      </c>
      <c r="F84" s="2" t="s">
        <v>370</v>
      </c>
      <c r="G84" s="2" t="s">
        <v>371</v>
      </c>
      <c r="H84" s="12" t="s">
        <v>43</v>
      </c>
      <c r="I84" s="2" t="s">
        <v>43</v>
      </c>
      <c r="J84" s="2" t="s">
        <v>43</v>
      </c>
      <c r="K84" s="2" t="s">
        <v>43</v>
      </c>
    </row>
    <row r="85" customFormat="false" ht="14.55" hidden="false" customHeight="false" outlineLevel="0" collapsed="false">
      <c r="A85" s="11" t="s">
        <v>372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customFormat="false" ht="35.8" hidden="false" customHeight="false" outlineLevel="0" collapsed="false">
      <c r="A86" s="2" t="s">
        <v>373</v>
      </c>
      <c r="B86" s="2" t="s">
        <v>372</v>
      </c>
      <c r="C86" s="2" t="s">
        <v>374</v>
      </c>
      <c r="D86" s="2" t="s">
        <v>51</v>
      </c>
      <c r="E86" s="2" t="s">
        <v>375</v>
      </c>
      <c r="F86" s="2" t="s">
        <v>376</v>
      </c>
      <c r="G86" s="2" t="s">
        <v>377</v>
      </c>
      <c r="H86" s="12" t="s">
        <v>43</v>
      </c>
      <c r="I86" s="2" t="s">
        <v>43</v>
      </c>
      <c r="J86" s="2" t="s">
        <v>43</v>
      </c>
      <c r="K86" s="2" t="s">
        <v>43</v>
      </c>
    </row>
    <row r="87" customFormat="false" ht="46.25" hidden="false" customHeight="false" outlineLevel="0" collapsed="false">
      <c r="A87" s="2" t="s">
        <v>378</v>
      </c>
      <c r="B87" s="2" t="s">
        <v>372</v>
      </c>
      <c r="C87" s="2" t="s">
        <v>379</v>
      </c>
      <c r="D87" s="2" t="s">
        <v>51</v>
      </c>
      <c r="E87" s="2" t="s">
        <v>380</v>
      </c>
      <c r="F87" s="2" t="s">
        <v>381</v>
      </c>
      <c r="G87" s="2" t="s">
        <v>382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25.35" hidden="false" customHeight="false" outlineLevel="0" collapsed="false">
      <c r="A88" s="2" t="s">
        <v>383</v>
      </c>
      <c r="B88" s="2" t="s">
        <v>372</v>
      </c>
      <c r="C88" s="2" t="s">
        <v>384</v>
      </c>
      <c r="D88" s="2" t="s">
        <v>51</v>
      </c>
      <c r="E88" s="2" t="s">
        <v>385</v>
      </c>
      <c r="F88" s="2" t="s">
        <v>386</v>
      </c>
      <c r="G88" s="2" t="s">
        <v>387</v>
      </c>
      <c r="H88" s="12" t="s">
        <v>43</v>
      </c>
      <c r="I88" s="2" t="s">
        <v>43</v>
      </c>
      <c r="J88" s="2" t="s">
        <v>43</v>
      </c>
      <c r="K88" s="2" t="s">
        <v>43</v>
      </c>
    </row>
    <row r="89" customFormat="false" ht="25.35" hidden="false" customHeight="false" outlineLevel="0" collapsed="false">
      <c r="A89" s="2" t="s">
        <v>388</v>
      </c>
      <c r="B89" s="2" t="s">
        <v>372</v>
      </c>
      <c r="C89" s="2" t="s">
        <v>389</v>
      </c>
      <c r="D89" s="2" t="s">
        <v>51</v>
      </c>
      <c r="E89" s="2" t="s">
        <v>390</v>
      </c>
      <c r="F89" s="2" t="s">
        <v>391</v>
      </c>
      <c r="G89" s="2" t="s">
        <v>392</v>
      </c>
      <c r="H89" s="12" t="s">
        <v>43</v>
      </c>
      <c r="I89" s="2" t="s">
        <v>43</v>
      </c>
      <c r="J89" s="2" t="s">
        <v>43</v>
      </c>
      <c r="K89" s="2" t="s">
        <v>43</v>
      </c>
    </row>
    <row r="90" customFormat="false" ht="35.8" hidden="false" customHeight="false" outlineLevel="0" collapsed="false">
      <c r="A90" s="2" t="s">
        <v>393</v>
      </c>
      <c r="B90" s="2" t="s">
        <v>372</v>
      </c>
      <c r="C90" s="2" t="s">
        <v>394</v>
      </c>
      <c r="D90" s="2" t="s">
        <v>51</v>
      </c>
      <c r="E90" s="2" t="s">
        <v>395</v>
      </c>
      <c r="F90" s="2" t="s">
        <v>396</v>
      </c>
      <c r="G90" s="2" t="s">
        <v>397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14.55" hidden="false" customHeight="false" outlineLevel="0" collapsed="false">
      <c r="A91" s="11" t="s">
        <v>398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customFormat="false" ht="25.35" hidden="false" customHeight="false" outlineLevel="0" collapsed="false">
      <c r="A92" s="2" t="s">
        <v>399</v>
      </c>
      <c r="B92" s="2" t="s">
        <v>398</v>
      </c>
      <c r="C92" s="2" t="s">
        <v>400</v>
      </c>
      <c r="D92" s="2" t="s">
        <v>39</v>
      </c>
      <c r="E92" s="2" t="s">
        <v>401</v>
      </c>
      <c r="F92" s="2" t="s">
        <v>402</v>
      </c>
      <c r="G92" s="2" t="s">
        <v>403</v>
      </c>
      <c r="H92" s="12" t="s">
        <v>43</v>
      </c>
      <c r="I92" s="2" t="s">
        <v>43</v>
      </c>
      <c r="J92" s="2" t="s">
        <v>43</v>
      </c>
      <c r="K92" s="2" t="s">
        <v>43</v>
      </c>
    </row>
    <row r="93" customFormat="false" ht="25.35" hidden="false" customHeight="false" outlineLevel="0" collapsed="false">
      <c r="A93" s="2" t="s">
        <v>404</v>
      </c>
      <c r="B93" s="2" t="s">
        <v>398</v>
      </c>
      <c r="C93" s="2" t="s">
        <v>405</v>
      </c>
      <c r="D93" s="2" t="s">
        <v>39</v>
      </c>
      <c r="E93" s="2" t="s">
        <v>406</v>
      </c>
      <c r="F93" s="2" t="s">
        <v>407</v>
      </c>
      <c r="G93" s="2" t="s">
        <v>408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25.35" hidden="false" customHeight="false" outlineLevel="0" collapsed="false">
      <c r="A94" s="2" t="s">
        <v>409</v>
      </c>
      <c r="B94" s="2" t="s">
        <v>398</v>
      </c>
      <c r="C94" s="2" t="s">
        <v>410</v>
      </c>
      <c r="D94" s="2" t="s">
        <v>51</v>
      </c>
      <c r="E94" s="2" t="s">
        <v>406</v>
      </c>
      <c r="F94" s="2" t="s">
        <v>411</v>
      </c>
      <c r="G94" s="2" t="s">
        <v>412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25.35" hidden="false" customHeight="false" outlineLevel="0" collapsed="false">
      <c r="A95" s="2" t="s">
        <v>413</v>
      </c>
      <c r="B95" s="2" t="s">
        <v>398</v>
      </c>
      <c r="C95" s="2" t="s">
        <v>414</v>
      </c>
      <c r="D95" s="2" t="s">
        <v>51</v>
      </c>
      <c r="E95" s="2" t="s">
        <v>406</v>
      </c>
      <c r="F95" s="2" t="s">
        <v>415</v>
      </c>
      <c r="G95" s="2" t="s">
        <v>416</v>
      </c>
      <c r="H95" s="12" t="s">
        <v>43</v>
      </c>
      <c r="I95" s="2" t="s">
        <v>43</v>
      </c>
      <c r="J95" s="2" t="s">
        <v>43</v>
      </c>
      <c r="K95" s="2" t="s">
        <v>43</v>
      </c>
    </row>
    <row r="96" customFormat="false" ht="25.35" hidden="false" customHeight="false" outlineLevel="0" collapsed="false">
      <c r="A96" s="2" t="s">
        <v>417</v>
      </c>
      <c r="B96" s="2" t="s">
        <v>398</v>
      </c>
      <c r="C96" s="2" t="s">
        <v>418</v>
      </c>
      <c r="D96" s="2" t="s">
        <v>51</v>
      </c>
      <c r="E96" s="2" t="s">
        <v>419</v>
      </c>
      <c r="F96" s="2" t="s">
        <v>420</v>
      </c>
      <c r="G96" s="2" t="s">
        <v>421</v>
      </c>
      <c r="H96" s="12" t="s">
        <v>43</v>
      </c>
      <c r="I96" s="2" t="s">
        <v>43</v>
      </c>
      <c r="J96" s="2" t="s">
        <v>43</v>
      </c>
      <c r="K96" s="2" t="s">
        <v>43</v>
      </c>
    </row>
    <row r="97" customFormat="false" ht="25.35" hidden="false" customHeight="false" outlineLevel="0" collapsed="false">
      <c r="A97" s="2" t="s">
        <v>422</v>
      </c>
      <c r="B97" s="2" t="s">
        <v>398</v>
      </c>
      <c r="C97" s="2" t="s">
        <v>423</v>
      </c>
      <c r="D97" s="2" t="s">
        <v>51</v>
      </c>
      <c r="E97" s="2" t="s">
        <v>424</v>
      </c>
      <c r="F97" s="2" t="s">
        <v>425</v>
      </c>
      <c r="G97" s="2" t="s">
        <v>426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14.55" hidden="false" customHeight="false" outlineLevel="0" collapsed="false">
      <c r="A98" s="11" t="s">
        <v>427</v>
      </c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customFormat="false" ht="35.8" hidden="false" customHeight="false" outlineLevel="0" collapsed="false">
      <c r="A99" s="2" t="s">
        <v>428</v>
      </c>
      <c r="B99" s="2" t="s">
        <v>427</v>
      </c>
      <c r="C99" s="2" t="s">
        <v>429</v>
      </c>
      <c r="D99" s="2" t="s">
        <v>51</v>
      </c>
      <c r="E99" s="2" t="s">
        <v>430</v>
      </c>
      <c r="F99" s="2" t="s">
        <v>431</v>
      </c>
      <c r="G99" s="2" t="s">
        <v>432</v>
      </c>
      <c r="H99" s="12" t="s">
        <v>43</v>
      </c>
      <c r="I99" s="2" t="s">
        <v>43</v>
      </c>
      <c r="J99" s="2" t="s">
        <v>43</v>
      </c>
      <c r="K99" s="2" t="s">
        <v>43</v>
      </c>
    </row>
    <row r="100" customFormat="false" ht="25.35" hidden="false" customHeight="false" outlineLevel="0" collapsed="false">
      <c r="A100" s="2" t="s">
        <v>433</v>
      </c>
      <c r="B100" s="2" t="s">
        <v>427</v>
      </c>
      <c r="C100" s="2" t="s">
        <v>434</v>
      </c>
      <c r="D100" s="2" t="s">
        <v>51</v>
      </c>
      <c r="E100" s="2" t="s">
        <v>435</v>
      </c>
      <c r="F100" s="2" t="s">
        <v>436</v>
      </c>
      <c r="G100" s="2" t="s">
        <v>437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438</v>
      </c>
      <c r="B101" s="2" t="s">
        <v>427</v>
      </c>
      <c r="C101" s="2" t="s">
        <v>439</v>
      </c>
      <c r="D101" s="2" t="s">
        <v>51</v>
      </c>
      <c r="E101" s="2" t="s">
        <v>435</v>
      </c>
      <c r="F101" s="2" t="s">
        <v>440</v>
      </c>
      <c r="G101" s="2" t="s">
        <v>441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14.9" hidden="false" customHeight="false" outlineLevel="0" collapsed="false">
      <c r="A102" s="2" t="s">
        <v>442</v>
      </c>
      <c r="B102" s="2" t="s">
        <v>427</v>
      </c>
      <c r="C102" s="2" t="s">
        <v>443</v>
      </c>
      <c r="D102" s="2" t="s">
        <v>57</v>
      </c>
      <c r="E102" s="2" t="s">
        <v>435</v>
      </c>
      <c r="F102" s="2" t="s">
        <v>444</v>
      </c>
      <c r="G102" s="2" t="s">
        <v>445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25.35" hidden="false" customHeight="false" outlineLevel="0" collapsed="false">
      <c r="A103" s="2" t="s">
        <v>446</v>
      </c>
      <c r="B103" s="2" t="s">
        <v>427</v>
      </c>
      <c r="C103" s="2" t="s">
        <v>447</v>
      </c>
      <c r="D103" s="2" t="s">
        <v>51</v>
      </c>
      <c r="E103" s="2" t="s">
        <v>435</v>
      </c>
      <c r="F103" s="2" t="s">
        <v>448</v>
      </c>
      <c r="G103" s="2" t="s">
        <v>449</v>
      </c>
      <c r="H103" s="12" t="s">
        <v>43</v>
      </c>
      <c r="I103" s="2" t="s">
        <v>43</v>
      </c>
      <c r="J103" s="2" t="s">
        <v>43</v>
      </c>
      <c r="K103" s="2" t="s">
        <v>43</v>
      </c>
    </row>
    <row r="104" customFormat="false" ht="35.8" hidden="false" customHeight="false" outlineLevel="0" collapsed="false">
      <c r="A104" s="2" t="s">
        <v>450</v>
      </c>
      <c r="B104" s="2" t="s">
        <v>427</v>
      </c>
      <c r="C104" s="2" t="s">
        <v>451</v>
      </c>
      <c r="D104" s="2" t="s">
        <v>51</v>
      </c>
      <c r="E104" s="2" t="s">
        <v>435</v>
      </c>
      <c r="F104" s="2" t="s">
        <v>452</v>
      </c>
      <c r="G104" s="2" t="s">
        <v>453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14.9" hidden="false" customHeight="false" outlineLevel="0" collapsed="false">
      <c r="A105" s="2" t="s">
        <v>454</v>
      </c>
      <c r="B105" s="2" t="s">
        <v>427</v>
      </c>
      <c r="C105" s="2" t="s">
        <v>455</v>
      </c>
      <c r="D105" s="2" t="s">
        <v>57</v>
      </c>
      <c r="E105" s="2" t="s">
        <v>435</v>
      </c>
      <c r="F105" s="2" t="s">
        <v>456</v>
      </c>
      <c r="G105" s="2" t="s">
        <v>457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25.35" hidden="false" customHeight="false" outlineLevel="0" collapsed="false">
      <c r="A106" s="2" t="s">
        <v>458</v>
      </c>
      <c r="B106" s="2" t="s">
        <v>427</v>
      </c>
      <c r="C106" s="2" t="s">
        <v>459</v>
      </c>
      <c r="D106" s="2" t="s">
        <v>51</v>
      </c>
      <c r="E106" s="2" t="s">
        <v>435</v>
      </c>
      <c r="F106" s="2" t="s">
        <v>460</v>
      </c>
      <c r="G106" s="2" t="s">
        <v>461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25.35" hidden="false" customHeight="false" outlineLevel="0" collapsed="false">
      <c r="A107" s="2" t="s">
        <v>462</v>
      </c>
      <c r="B107" s="2" t="s">
        <v>427</v>
      </c>
      <c r="C107" s="2" t="s">
        <v>463</v>
      </c>
      <c r="D107" s="2" t="s">
        <v>39</v>
      </c>
      <c r="E107" s="2" t="s">
        <v>464</v>
      </c>
      <c r="F107" s="2" t="s">
        <v>465</v>
      </c>
      <c r="G107" s="2" t="s">
        <v>466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467</v>
      </c>
      <c r="B108" s="2" t="s">
        <v>427</v>
      </c>
      <c r="C108" s="2" t="s">
        <v>468</v>
      </c>
      <c r="D108" s="2" t="s">
        <v>51</v>
      </c>
      <c r="E108" s="2" t="s">
        <v>469</v>
      </c>
      <c r="F108" s="2" t="s">
        <v>470</v>
      </c>
      <c r="G108" s="2" t="s">
        <v>471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35.8" hidden="false" customHeight="false" outlineLevel="0" collapsed="false">
      <c r="A109" s="2" t="s">
        <v>472</v>
      </c>
      <c r="B109" s="2" t="s">
        <v>427</v>
      </c>
      <c r="C109" s="2" t="s">
        <v>473</v>
      </c>
      <c r="D109" s="2" t="s">
        <v>39</v>
      </c>
      <c r="E109" s="2" t="s">
        <v>435</v>
      </c>
      <c r="F109" s="2" t="s">
        <v>474</v>
      </c>
      <c r="G109" s="2" t="s">
        <v>475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25.35" hidden="false" customHeight="false" outlineLevel="0" collapsed="false">
      <c r="A110" s="2" t="s">
        <v>476</v>
      </c>
      <c r="B110" s="2" t="s">
        <v>427</v>
      </c>
      <c r="C110" s="2" t="s">
        <v>477</v>
      </c>
      <c r="D110" s="2" t="s">
        <v>39</v>
      </c>
      <c r="E110" s="2" t="s">
        <v>478</v>
      </c>
      <c r="F110" s="2" t="s">
        <v>479</v>
      </c>
      <c r="G110" s="2" t="s">
        <v>480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14.55" hidden="false" customHeight="false" outlineLevel="0" collapsed="false">
      <c r="A111" s="11" t="s">
        <v>481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 customFormat="false" ht="25.35" hidden="false" customHeight="false" outlineLevel="0" collapsed="false">
      <c r="A112" s="2" t="s">
        <v>482</v>
      </c>
      <c r="B112" s="2" t="s">
        <v>481</v>
      </c>
      <c r="C112" s="2" t="s">
        <v>483</v>
      </c>
      <c r="D112" s="2" t="s">
        <v>39</v>
      </c>
      <c r="E112" s="2" t="s">
        <v>484</v>
      </c>
      <c r="F112" s="2" t="s">
        <v>485</v>
      </c>
      <c r="G112" s="2" t="s">
        <v>486</v>
      </c>
      <c r="H112" s="12" t="s">
        <v>43</v>
      </c>
      <c r="I112" s="2" t="s">
        <v>43</v>
      </c>
      <c r="J112" s="2" t="s">
        <v>43</v>
      </c>
      <c r="K112" s="2" t="s">
        <v>43</v>
      </c>
    </row>
    <row r="113" customFormat="false" ht="25.35" hidden="false" customHeight="false" outlineLevel="0" collapsed="false">
      <c r="A113" s="2" t="s">
        <v>487</v>
      </c>
      <c r="B113" s="2" t="s">
        <v>481</v>
      </c>
      <c r="C113" s="2" t="s">
        <v>488</v>
      </c>
      <c r="D113" s="2" t="s">
        <v>39</v>
      </c>
      <c r="E113" s="2" t="s">
        <v>489</v>
      </c>
      <c r="F113" s="2" t="s">
        <v>485</v>
      </c>
      <c r="G113" s="2" t="s">
        <v>490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491</v>
      </c>
      <c r="B114" s="2" t="s">
        <v>481</v>
      </c>
      <c r="C114" s="2" t="s">
        <v>492</v>
      </c>
      <c r="D114" s="2" t="s">
        <v>39</v>
      </c>
      <c r="E114" s="2" t="s">
        <v>493</v>
      </c>
      <c r="F114" s="2" t="s">
        <v>494</v>
      </c>
      <c r="G114" s="2" t="s">
        <v>495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25.35" hidden="false" customHeight="false" outlineLevel="0" collapsed="false">
      <c r="A115" s="2" t="s">
        <v>496</v>
      </c>
      <c r="B115" s="2" t="s">
        <v>481</v>
      </c>
      <c r="C115" s="2" t="s">
        <v>497</v>
      </c>
      <c r="D115" s="2" t="s">
        <v>51</v>
      </c>
      <c r="E115" s="2" t="s">
        <v>498</v>
      </c>
      <c r="F115" s="2" t="s">
        <v>499</v>
      </c>
      <c r="G115" s="2" t="s">
        <v>500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14.55" hidden="false" customHeight="false" outlineLevel="0" collapsed="false">
      <c r="A116" s="11" t="s">
        <v>501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 customFormat="false" ht="35.8" hidden="false" customHeight="false" outlineLevel="0" collapsed="false">
      <c r="A117" s="2" t="s">
        <v>502</v>
      </c>
      <c r="B117" s="2" t="s">
        <v>501</v>
      </c>
      <c r="C117" s="2" t="s">
        <v>503</v>
      </c>
      <c r="D117" s="2" t="s">
        <v>51</v>
      </c>
      <c r="E117" s="2" t="s">
        <v>419</v>
      </c>
      <c r="F117" s="2" t="s">
        <v>504</v>
      </c>
      <c r="G117" s="2" t="s">
        <v>505</v>
      </c>
      <c r="H117" s="12" t="s">
        <v>43</v>
      </c>
      <c r="I117" s="2" t="s">
        <v>43</v>
      </c>
      <c r="J117" s="2" t="s">
        <v>43</v>
      </c>
      <c r="K117" s="2" t="s">
        <v>43</v>
      </c>
    </row>
    <row r="118" customFormat="false" ht="25.35" hidden="false" customHeight="false" outlineLevel="0" collapsed="false">
      <c r="A118" s="2" t="s">
        <v>506</v>
      </c>
      <c r="B118" s="2" t="s">
        <v>501</v>
      </c>
      <c r="C118" s="2" t="s">
        <v>507</v>
      </c>
      <c r="D118" s="2" t="s">
        <v>57</v>
      </c>
      <c r="E118" s="2" t="s">
        <v>508</v>
      </c>
      <c r="F118" s="2" t="s">
        <v>507</v>
      </c>
      <c r="G118" s="2" t="s">
        <v>509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14.55" hidden="false" customHeight="false" outlineLevel="0" collapsed="false">
      <c r="A119" s="11" t="s">
        <v>510</v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 customFormat="false" ht="35.8" hidden="false" customHeight="false" outlineLevel="0" collapsed="false">
      <c r="A120" s="2" t="s">
        <v>511</v>
      </c>
      <c r="B120" s="2" t="s">
        <v>510</v>
      </c>
      <c r="C120" s="2" t="s">
        <v>512</v>
      </c>
      <c r="D120" s="2" t="s">
        <v>51</v>
      </c>
      <c r="E120" s="2" t="s">
        <v>513</v>
      </c>
      <c r="F120" s="2" t="s">
        <v>514</v>
      </c>
      <c r="G120" s="2" t="s">
        <v>515</v>
      </c>
      <c r="H120" s="12" t="s">
        <v>43</v>
      </c>
      <c r="I120" s="2" t="s">
        <v>43</v>
      </c>
      <c r="J120" s="2" t="s">
        <v>43</v>
      </c>
      <c r="K120" s="2" t="s">
        <v>43</v>
      </c>
    </row>
    <row r="121" customFormat="false" ht="25.35" hidden="false" customHeight="false" outlineLevel="0" collapsed="false">
      <c r="A121" s="2" t="s">
        <v>516</v>
      </c>
      <c r="B121" s="2" t="s">
        <v>510</v>
      </c>
      <c r="C121" s="2" t="s">
        <v>517</v>
      </c>
      <c r="D121" s="2" t="s">
        <v>51</v>
      </c>
      <c r="E121" s="2" t="s">
        <v>518</v>
      </c>
      <c r="F121" s="2" t="s">
        <v>519</v>
      </c>
      <c r="G121" s="2" t="s">
        <v>520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25.35" hidden="false" customHeight="false" outlineLevel="0" collapsed="false">
      <c r="A122" s="2" t="s">
        <v>521</v>
      </c>
      <c r="B122" s="2" t="s">
        <v>510</v>
      </c>
      <c r="C122" s="2" t="s">
        <v>522</v>
      </c>
      <c r="D122" s="2" t="s">
        <v>57</v>
      </c>
      <c r="E122" s="2" t="s">
        <v>523</v>
      </c>
      <c r="F122" s="2" t="s">
        <v>524</v>
      </c>
      <c r="G122" s="2" t="s">
        <v>525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25.35" hidden="false" customHeight="false" outlineLevel="0" collapsed="false">
      <c r="A123" s="2" t="s">
        <v>526</v>
      </c>
      <c r="B123" s="2" t="s">
        <v>510</v>
      </c>
      <c r="C123" s="2" t="s">
        <v>527</v>
      </c>
      <c r="D123" s="2" t="s">
        <v>57</v>
      </c>
      <c r="E123" s="2" t="s">
        <v>528</v>
      </c>
      <c r="F123" s="2" t="s">
        <v>529</v>
      </c>
      <c r="G123" s="2" t="s">
        <v>530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14.55" hidden="false" customHeight="false" outlineLevel="0" collapsed="false">
      <c r="A124" s="11" t="s">
        <v>531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 customFormat="false" ht="25.35" hidden="false" customHeight="false" outlineLevel="0" collapsed="false">
      <c r="A125" s="2" t="s">
        <v>532</v>
      </c>
      <c r="B125" s="2" t="s">
        <v>531</v>
      </c>
      <c r="C125" s="2" t="s">
        <v>533</v>
      </c>
      <c r="D125" s="2" t="s">
        <v>39</v>
      </c>
      <c r="E125" s="2" t="s">
        <v>534</v>
      </c>
      <c r="F125" s="2" t="s">
        <v>535</v>
      </c>
      <c r="G125" s="2" t="s">
        <v>536</v>
      </c>
      <c r="H125" s="12" t="s">
        <v>43</v>
      </c>
      <c r="I125" s="2" t="s">
        <v>43</v>
      </c>
      <c r="J125" s="2" t="s">
        <v>43</v>
      </c>
      <c r="K125" s="2" t="s">
        <v>43</v>
      </c>
    </row>
    <row r="126" customFormat="false" ht="25.35" hidden="false" customHeight="false" outlineLevel="0" collapsed="false">
      <c r="A126" s="2" t="s">
        <v>537</v>
      </c>
      <c r="B126" s="2" t="s">
        <v>531</v>
      </c>
      <c r="C126" s="2" t="s">
        <v>538</v>
      </c>
      <c r="D126" s="2" t="s">
        <v>39</v>
      </c>
      <c r="E126" s="2" t="s">
        <v>539</v>
      </c>
      <c r="F126" s="2" t="s">
        <v>540</v>
      </c>
      <c r="G126" s="2" t="s">
        <v>541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14.55" hidden="false" customHeight="false" outlineLevel="0" collapsed="false">
      <c r="A127" s="11" t="s">
        <v>542</v>
      </c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 customFormat="false" ht="25.35" hidden="false" customHeight="false" outlineLevel="0" collapsed="false">
      <c r="A128" s="2" t="s">
        <v>543</v>
      </c>
      <c r="B128" s="2" t="s">
        <v>542</v>
      </c>
      <c r="C128" s="2" t="s">
        <v>544</v>
      </c>
      <c r="D128" s="2" t="s">
        <v>51</v>
      </c>
      <c r="E128" s="2" t="s">
        <v>545</v>
      </c>
      <c r="F128" s="2" t="s">
        <v>546</v>
      </c>
      <c r="G128" s="2" t="s">
        <v>547</v>
      </c>
      <c r="H128" s="12" t="s">
        <v>43</v>
      </c>
      <c r="I128" s="2" t="s">
        <v>43</v>
      </c>
      <c r="J128" s="2" t="s">
        <v>43</v>
      </c>
      <c r="K128" s="2" t="s">
        <v>43</v>
      </c>
    </row>
    <row r="129" customFormat="false" ht="14.55" hidden="false" customHeight="false" outlineLevel="0" collapsed="false">
      <c r="A129" s="11" t="s">
        <v>548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 customFormat="false" ht="25.35" hidden="false" customHeight="false" outlineLevel="0" collapsed="false">
      <c r="A130" s="2" t="s">
        <v>549</v>
      </c>
      <c r="B130" s="2" t="s">
        <v>548</v>
      </c>
      <c r="C130" s="2" t="s">
        <v>550</v>
      </c>
      <c r="D130" s="2" t="s">
        <v>57</v>
      </c>
      <c r="E130" s="2" t="s">
        <v>551</v>
      </c>
      <c r="F130" s="2" t="s">
        <v>552</v>
      </c>
      <c r="G130" s="2" t="s">
        <v>553</v>
      </c>
      <c r="H130" s="12" t="s">
        <v>43</v>
      </c>
      <c r="I130" s="2" t="s">
        <v>43</v>
      </c>
      <c r="J130" s="2" t="s">
        <v>43</v>
      </c>
      <c r="K130" s="2" t="s">
        <v>43</v>
      </c>
    </row>
    <row r="131" customFormat="false" ht="25.35" hidden="false" customHeight="false" outlineLevel="0" collapsed="false">
      <c r="A131" s="2" t="s">
        <v>554</v>
      </c>
      <c r="B131" s="2" t="s">
        <v>548</v>
      </c>
      <c r="C131" s="2" t="s">
        <v>555</v>
      </c>
      <c r="D131" s="2" t="s">
        <v>57</v>
      </c>
      <c r="E131" s="2" t="s">
        <v>556</v>
      </c>
      <c r="F131" s="2" t="s">
        <v>557</v>
      </c>
      <c r="G131" s="2" t="s">
        <v>558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14.55" hidden="false" customHeight="false" outlineLevel="0" collapsed="false">
      <c r="A132" s="11" t="s">
        <v>559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 customFormat="false" ht="46.25" hidden="false" customHeight="false" outlineLevel="0" collapsed="false">
      <c r="A133" s="2" t="s">
        <v>560</v>
      </c>
      <c r="B133" s="2" t="s">
        <v>559</v>
      </c>
      <c r="C133" s="2" t="s">
        <v>561</v>
      </c>
      <c r="D133" s="2" t="s">
        <v>51</v>
      </c>
      <c r="E133" s="2" t="s">
        <v>119</v>
      </c>
      <c r="F133" s="2" t="s">
        <v>562</v>
      </c>
      <c r="G133" s="2" t="s">
        <v>563</v>
      </c>
      <c r="H133" s="12" t="s">
        <v>43</v>
      </c>
      <c r="I133" s="2" t="s">
        <v>43</v>
      </c>
      <c r="J133" s="2" t="s">
        <v>43</v>
      </c>
      <c r="K133" s="2" t="s">
        <v>43</v>
      </c>
    </row>
    <row r="134" customFormat="false" ht="56.7" hidden="false" customHeight="false" outlineLevel="0" collapsed="false">
      <c r="A134" s="2" t="s">
        <v>564</v>
      </c>
      <c r="B134" s="2" t="s">
        <v>559</v>
      </c>
      <c r="C134" s="2" t="s">
        <v>565</v>
      </c>
      <c r="D134" s="2" t="s">
        <v>57</v>
      </c>
      <c r="E134" s="2" t="s">
        <v>566</v>
      </c>
      <c r="F134" s="2" t="s">
        <v>567</v>
      </c>
      <c r="G134" s="2" t="s">
        <v>568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14.55" hidden="false" customHeight="false" outlineLevel="0" collapsed="false">
      <c r="A135" s="11" t="s">
        <v>569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 customFormat="false" ht="35.8" hidden="false" customHeight="false" outlineLevel="0" collapsed="false">
      <c r="A136" s="2" t="s">
        <v>570</v>
      </c>
      <c r="B136" s="2" t="s">
        <v>569</v>
      </c>
      <c r="C136" s="2" t="s">
        <v>571</v>
      </c>
      <c r="D136" s="2" t="s">
        <v>39</v>
      </c>
      <c r="E136" s="2" t="s">
        <v>572</v>
      </c>
      <c r="F136" s="2" t="s">
        <v>573</v>
      </c>
      <c r="G136" s="2" t="s">
        <v>574</v>
      </c>
      <c r="H136" s="12" t="s">
        <v>43</v>
      </c>
      <c r="I136" s="2" t="s">
        <v>43</v>
      </c>
      <c r="J136" s="2" t="s">
        <v>43</v>
      </c>
      <c r="K136" s="2" t="s">
        <v>43</v>
      </c>
    </row>
    <row r="137" customFormat="false" ht="25.35" hidden="false" customHeight="false" outlineLevel="0" collapsed="false">
      <c r="A137" s="2" t="s">
        <v>575</v>
      </c>
      <c r="B137" s="2" t="s">
        <v>569</v>
      </c>
      <c r="C137" s="2" t="s">
        <v>576</v>
      </c>
      <c r="D137" s="2" t="s">
        <v>39</v>
      </c>
      <c r="E137" s="2" t="s">
        <v>577</v>
      </c>
      <c r="F137" s="2" t="s">
        <v>578</v>
      </c>
      <c r="G137" s="2" t="s">
        <v>579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25.35" hidden="false" customHeight="false" outlineLevel="0" collapsed="false">
      <c r="A138" s="2" t="s">
        <v>580</v>
      </c>
      <c r="B138" s="2" t="s">
        <v>569</v>
      </c>
      <c r="C138" s="2" t="s">
        <v>581</v>
      </c>
      <c r="D138" s="2" t="s">
        <v>51</v>
      </c>
      <c r="E138" s="2" t="s">
        <v>582</v>
      </c>
      <c r="F138" s="2" t="s">
        <v>583</v>
      </c>
      <c r="G138" s="2" t="s">
        <v>584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56.7" hidden="false" customHeight="false" outlineLevel="0" collapsed="false">
      <c r="A139" s="2" t="s">
        <v>585</v>
      </c>
      <c r="B139" s="2" t="s">
        <v>569</v>
      </c>
      <c r="C139" s="2" t="s">
        <v>586</v>
      </c>
      <c r="D139" s="2" t="s">
        <v>51</v>
      </c>
      <c r="E139" s="2" t="s">
        <v>587</v>
      </c>
      <c r="F139" s="2" t="s">
        <v>588</v>
      </c>
      <c r="G139" s="2" t="s">
        <v>589</v>
      </c>
      <c r="H139" s="12" t="s">
        <v>43</v>
      </c>
      <c r="I139" s="2" t="s">
        <v>43</v>
      </c>
      <c r="J139" s="2" t="s">
        <v>43</v>
      </c>
      <c r="K139" s="2" t="s">
        <v>43</v>
      </c>
    </row>
    <row r="140" customFormat="false" ht="67.15" hidden="false" customHeight="false" outlineLevel="0" collapsed="false">
      <c r="A140" s="2" t="s">
        <v>590</v>
      </c>
      <c r="B140" s="2" t="s">
        <v>569</v>
      </c>
      <c r="C140" s="2" t="s">
        <v>591</v>
      </c>
      <c r="D140" s="2" t="s">
        <v>51</v>
      </c>
      <c r="E140" s="2" t="s">
        <v>592</v>
      </c>
      <c r="F140" s="2" t="s">
        <v>593</v>
      </c>
      <c r="G140" s="2" t="s">
        <v>594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35.8" hidden="false" customHeight="false" outlineLevel="0" collapsed="false">
      <c r="A141" s="2" t="s">
        <v>595</v>
      </c>
      <c r="B141" s="2" t="s">
        <v>569</v>
      </c>
      <c r="C141" s="2" t="s">
        <v>596</v>
      </c>
      <c r="D141" s="2" t="s">
        <v>57</v>
      </c>
      <c r="E141" s="2" t="s">
        <v>597</v>
      </c>
      <c r="F141" s="2" t="s">
        <v>598</v>
      </c>
      <c r="G141" s="2" t="s">
        <v>599</v>
      </c>
      <c r="H141" s="12" t="s">
        <v>43</v>
      </c>
      <c r="I141" s="2" t="s">
        <v>43</v>
      </c>
      <c r="J141" s="2" t="s">
        <v>43</v>
      </c>
      <c r="K141" s="2" t="s">
        <v>43</v>
      </c>
    </row>
    <row r="142" customFormat="false" ht="14.55" hidden="false" customHeight="false" outlineLevel="0" collapsed="false">
      <c r="A142" s="11" t="s">
        <v>600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 customFormat="false" ht="35.8" hidden="false" customHeight="false" outlineLevel="0" collapsed="false">
      <c r="A143" s="2" t="s">
        <v>601</v>
      </c>
      <c r="B143" s="2" t="s">
        <v>600</v>
      </c>
      <c r="C143" s="2" t="s">
        <v>602</v>
      </c>
      <c r="D143" s="2" t="s">
        <v>51</v>
      </c>
      <c r="E143" s="2" t="s">
        <v>603</v>
      </c>
      <c r="F143" s="2" t="s">
        <v>604</v>
      </c>
      <c r="G143" s="2" t="s">
        <v>605</v>
      </c>
      <c r="H143" s="12" t="s">
        <v>43</v>
      </c>
      <c r="I143" s="2" t="s">
        <v>43</v>
      </c>
      <c r="J143" s="2" t="s">
        <v>43</v>
      </c>
      <c r="K143" s="2" t="s">
        <v>43</v>
      </c>
    </row>
    <row r="144" customFormat="false" ht="35.8" hidden="false" customHeight="false" outlineLevel="0" collapsed="false">
      <c r="A144" s="2" t="s">
        <v>606</v>
      </c>
      <c r="B144" s="2" t="s">
        <v>600</v>
      </c>
      <c r="C144" s="2" t="s">
        <v>607</v>
      </c>
      <c r="D144" s="2" t="s">
        <v>51</v>
      </c>
      <c r="E144" s="2" t="s">
        <v>608</v>
      </c>
      <c r="F144" s="2" t="s">
        <v>609</v>
      </c>
      <c r="G144" s="2" t="s">
        <v>610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35.8" hidden="false" customHeight="false" outlineLevel="0" collapsed="false">
      <c r="A145" s="2" t="s">
        <v>611</v>
      </c>
      <c r="B145" s="2" t="s">
        <v>600</v>
      </c>
      <c r="C145" s="2" t="s">
        <v>612</v>
      </c>
      <c r="D145" s="2" t="s">
        <v>51</v>
      </c>
      <c r="E145" s="2" t="s">
        <v>613</v>
      </c>
      <c r="F145" s="2" t="s">
        <v>614</v>
      </c>
      <c r="G145" s="2" t="s">
        <v>615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46.25" hidden="false" customHeight="false" outlineLevel="0" collapsed="false">
      <c r="A146" s="2" t="s">
        <v>616</v>
      </c>
      <c r="B146" s="2" t="s">
        <v>600</v>
      </c>
      <c r="C146" s="2" t="s">
        <v>617</v>
      </c>
      <c r="D146" s="2" t="s">
        <v>51</v>
      </c>
      <c r="E146" s="2" t="s">
        <v>618</v>
      </c>
      <c r="F146" s="2" t="s">
        <v>619</v>
      </c>
      <c r="G146" s="2" t="s">
        <v>620</v>
      </c>
      <c r="H146" s="12" t="s">
        <v>43</v>
      </c>
      <c r="I146" s="2" t="s">
        <v>43</v>
      </c>
      <c r="J146" s="2" t="s">
        <v>43</v>
      </c>
      <c r="K146" s="2" t="s">
        <v>43</v>
      </c>
    </row>
    <row r="147" customFormat="false" ht="25.35" hidden="false" customHeight="false" outlineLevel="0" collapsed="false">
      <c r="A147" s="2" t="s">
        <v>621</v>
      </c>
      <c r="B147" s="2" t="s">
        <v>600</v>
      </c>
      <c r="C147" s="2" t="s">
        <v>622</v>
      </c>
      <c r="D147" s="2" t="s">
        <v>57</v>
      </c>
      <c r="E147" s="2" t="s">
        <v>623</v>
      </c>
      <c r="F147" s="2" t="s">
        <v>624</v>
      </c>
      <c r="G147" s="2" t="s">
        <v>625</v>
      </c>
      <c r="H147" s="12" t="s">
        <v>43</v>
      </c>
      <c r="I147" s="2" t="s">
        <v>43</v>
      </c>
      <c r="J147" s="2" t="s">
        <v>43</v>
      </c>
      <c r="K147" s="2" t="s">
        <v>43</v>
      </c>
    </row>
    <row r="148" customFormat="false" ht="14.55" hidden="false" customHeight="false" outlineLevel="0" collapsed="false">
      <c r="A148" s="11" t="s">
        <v>626</v>
      </c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 customFormat="false" ht="46.25" hidden="false" customHeight="false" outlineLevel="0" collapsed="false">
      <c r="A149" s="2" t="s">
        <v>627</v>
      </c>
      <c r="B149" s="2" t="s">
        <v>626</v>
      </c>
      <c r="C149" s="2" t="s">
        <v>628</v>
      </c>
      <c r="D149" s="2" t="s">
        <v>51</v>
      </c>
      <c r="E149" s="2" t="s">
        <v>629</v>
      </c>
      <c r="F149" s="2" t="s">
        <v>630</v>
      </c>
      <c r="G149" s="2" t="s">
        <v>631</v>
      </c>
      <c r="H149" s="12" t="s">
        <v>43</v>
      </c>
      <c r="I149" s="2" t="s">
        <v>43</v>
      </c>
      <c r="J149" s="2" t="s">
        <v>43</v>
      </c>
      <c r="K149" s="2" t="s">
        <v>43</v>
      </c>
    </row>
    <row r="150" customFormat="false" ht="35.8" hidden="false" customHeight="false" outlineLevel="0" collapsed="false">
      <c r="A150" s="2" t="s">
        <v>632</v>
      </c>
      <c r="B150" s="2" t="s">
        <v>626</v>
      </c>
      <c r="C150" s="2" t="s">
        <v>633</v>
      </c>
      <c r="D150" s="2" t="s">
        <v>51</v>
      </c>
      <c r="E150" s="2" t="s">
        <v>634</v>
      </c>
      <c r="F150" s="2" t="s">
        <v>635</v>
      </c>
      <c r="G150" s="2" t="s">
        <v>636</v>
      </c>
      <c r="H150" s="12" t="s">
        <v>43</v>
      </c>
      <c r="I150" s="2" t="s">
        <v>43</v>
      </c>
      <c r="J150" s="2" t="s">
        <v>43</v>
      </c>
      <c r="K150" s="2" t="s">
        <v>43</v>
      </c>
    </row>
    <row r="151" customFormat="false" ht="25.35" hidden="false" customHeight="false" outlineLevel="0" collapsed="false">
      <c r="A151" s="2" t="s">
        <v>637</v>
      </c>
      <c r="B151" s="2" t="s">
        <v>626</v>
      </c>
      <c r="C151" s="2" t="s">
        <v>638</v>
      </c>
      <c r="D151" s="2" t="s">
        <v>57</v>
      </c>
      <c r="E151" s="2" t="s">
        <v>639</v>
      </c>
      <c r="F151" s="2" t="s">
        <v>640</v>
      </c>
      <c r="G151" s="2" t="s">
        <v>641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46.25" hidden="false" customHeight="false" outlineLevel="0" collapsed="false">
      <c r="A152" s="2" t="s">
        <v>642</v>
      </c>
      <c r="B152" s="2" t="s">
        <v>626</v>
      </c>
      <c r="C152" s="2" t="s">
        <v>643</v>
      </c>
      <c r="D152" s="2" t="s">
        <v>51</v>
      </c>
      <c r="E152" s="2" t="s">
        <v>644</v>
      </c>
      <c r="F152" s="2" t="s">
        <v>645</v>
      </c>
      <c r="G152" s="2" t="s">
        <v>646</v>
      </c>
      <c r="H152" s="12" t="s">
        <v>43</v>
      </c>
      <c r="I152" s="2" t="s">
        <v>43</v>
      </c>
      <c r="J152" s="2" t="s">
        <v>43</v>
      </c>
      <c r="K152" s="2" t="s">
        <v>43</v>
      </c>
    </row>
    <row r="153" customFormat="false" ht="25.35" hidden="false" customHeight="false" outlineLevel="0" collapsed="false">
      <c r="A153" s="2" t="s">
        <v>647</v>
      </c>
      <c r="B153" s="2" t="s">
        <v>626</v>
      </c>
      <c r="C153" s="2" t="s">
        <v>648</v>
      </c>
      <c r="D153" s="2" t="s">
        <v>57</v>
      </c>
      <c r="E153" s="2" t="s">
        <v>644</v>
      </c>
      <c r="F153" s="2" t="s">
        <v>649</v>
      </c>
      <c r="G153" s="2" t="s">
        <v>650</v>
      </c>
      <c r="H153" s="12" t="s">
        <v>43</v>
      </c>
      <c r="I153" s="2" t="s">
        <v>43</v>
      </c>
      <c r="J153" s="2" t="s">
        <v>43</v>
      </c>
      <c r="K153" s="2" t="s">
        <v>43</v>
      </c>
    </row>
    <row r="154" customFormat="false" ht="25.35" hidden="false" customHeight="false" outlineLevel="0" collapsed="false">
      <c r="A154" s="2" t="s">
        <v>651</v>
      </c>
      <c r="B154" s="2" t="s">
        <v>626</v>
      </c>
      <c r="C154" s="2" t="s">
        <v>652</v>
      </c>
      <c r="D154" s="2" t="s">
        <v>57</v>
      </c>
      <c r="E154" s="2" t="s">
        <v>653</v>
      </c>
      <c r="F154" s="2" t="s">
        <v>654</v>
      </c>
      <c r="G154" s="2" t="s">
        <v>655</v>
      </c>
      <c r="H154" s="12" t="s">
        <v>43</v>
      </c>
      <c r="I154" s="2" t="s">
        <v>43</v>
      </c>
      <c r="J154" s="2" t="s">
        <v>43</v>
      </c>
      <c r="K154" s="2" t="s">
        <v>43</v>
      </c>
    </row>
    <row r="155" customFormat="false" ht="14.55" hidden="false" customHeight="false" outlineLevel="0" collapsed="false">
      <c r="A155" s="11" t="s">
        <v>656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 customFormat="false" ht="25.35" hidden="false" customHeight="false" outlineLevel="0" collapsed="false">
      <c r="A156" s="2" t="s">
        <v>657</v>
      </c>
      <c r="B156" s="2" t="s">
        <v>656</v>
      </c>
      <c r="C156" s="2" t="s">
        <v>658</v>
      </c>
      <c r="D156" s="2" t="s">
        <v>51</v>
      </c>
      <c r="E156" s="2" t="s">
        <v>659</v>
      </c>
      <c r="F156" s="2" t="s">
        <v>660</v>
      </c>
      <c r="G156" s="2" t="s">
        <v>661</v>
      </c>
      <c r="H156" s="12" t="s">
        <v>43</v>
      </c>
      <c r="I156" s="2" t="s">
        <v>43</v>
      </c>
      <c r="J156" s="2" t="s">
        <v>43</v>
      </c>
      <c r="K156" s="2" t="s">
        <v>43</v>
      </c>
    </row>
    <row r="157" customFormat="false" ht="14.9" hidden="false" customHeight="false" outlineLevel="0" collapsed="false">
      <c r="A157" s="2" t="s">
        <v>662</v>
      </c>
      <c r="B157" s="2" t="s">
        <v>656</v>
      </c>
      <c r="C157" s="2" t="s">
        <v>663</v>
      </c>
      <c r="D157" s="2" t="s">
        <v>57</v>
      </c>
      <c r="E157" s="2" t="s">
        <v>664</v>
      </c>
      <c r="F157" s="2" t="s">
        <v>665</v>
      </c>
      <c r="G157" s="2" t="s">
        <v>666</v>
      </c>
      <c r="H157" s="12" t="s">
        <v>43</v>
      </c>
      <c r="I157" s="2" t="s">
        <v>43</v>
      </c>
      <c r="J157" s="2" t="s">
        <v>43</v>
      </c>
      <c r="K157" s="2" t="s">
        <v>43</v>
      </c>
    </row>
    <row r="158" customFormat="false" ht="25.35" hidden="false" customHeight="false" outlineLevel="0" collapsed="false">
      <c r="A158" s="2" t="s">
        <v>667</v>
      </c>
      <c r="B158" s="2" t="s">
        <v>656</v>
      </c>
      <c r="C158" s="2" t="s">
        <v>668</v>
      </c>
      <c r="D158" s="2" t="s">
        <v>51</v>
      </c>
      <c r="E158" s="2" t="s">
        <v>669</v>
      </c>
      <c r="F158" s="2" t="s">
        <v>670</v>
      </c>
      <c r="G158" s="2" t="s">
        <v>671</v>
      </c>
      <c r="H158" s="12" t="s">
        <v>43</v>
      </c>
      <c r="I158" s="2" t="s">
        <v>43</v>
      </c>
      <c r="J158" s="2" t="s">
        <v>43</v>
      </c>
      <c r="K158" s="2" t="s">
        <v>43</v>
      </c>
    </row>
    <row r="159" customFormat="false" ht="25.35" hidden="false" customHeight="false" outlineLevel="0" collapsed="false">
      <c r="A159" s="2" t="s">
        <v>672</v>
      </c>
      <c r="B159" s="2" t="s">
        <v>656</v>
      </c>
      <c r="C159" s="2" t="s">
        <v>673</v>
      </c>
      <c r="D159" s="2" t="s">
        <v>57</v>
      </c>
      <c r="E159" s="2" t="s">
        <v>674</v>
      </c>
      <c r="F159" s="2" t="s">
        <v>675</v>
      </c>
      <c r="G159" s="2" t="s">
        <v>676</v>
      </c>
      <c r="H159" s="12" t="s">
        <v>43</v>
      </c>
      <c r="I159" s="2" t="s">
        <v>43</v>
      </c>
      <c r="J159" s="2" t="s">
        <v>43</v>
      </c>
      <c r="K159" s="2" t="s">
        <v>43</v>
      </c>
    </row>
  </sheetData>
  <mergeCells count="31">
    <mergeCell ref="A1:K1"/>
    <mergeCell ref="A3:K3"/>
    <mergeCell ref="A8:K8"/>
    <mergeCell ref="A14:K14"/>
    <mergeCell ref="A21:K21"/>
    <mergeCell ref="A27:K27"/>
    <mergeCell ref="A31:K31"/>
    <mergeCell ref="A33:K33"/>
    <mergeCell ref="A36:K36"/>
    <mergeCell ref="A41:K41"/>
    <mergeCell ref="A45:K45"/>
    <mergeCell ref="A56:K56"/>
    <mergeCell ref="A64:K64"/>
    <mergeCell ref="A70:K70"/>
    <mergeCell ref="A72:K72"/>
    <mergeCell ref="A77:K77"/>
    <mergeCell ref="A80:K80"/>
    <mergeCell ref="A85:K85"/>
    <mergeCell ref="A91:K91"/>
    <mergeCell ref="A98:K98"/>
    <mergeCell ref="A111:K111"/>
    <mergeCell ref="A116:K116"/>
    <mergeCell ref="A119:K119"/>
    <mergeCell ref="A124:K124"/>
    <mergeCell ref="A127:K127"/>
    <mergeCell ref="A129:K129"/>
    <mergeCell ref="A132:K132"/>
    <mergeCell ref="A135:K135"/>
    <mergeCell ref="A142:K142"/>
    <mergeCell ref="A148:K148"/>
    <mergeCell ref="A155:K155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6 H28:H30 H32 H34:H35 H37:H40 H42:H44 H46:H55 H57:H63 H65:H69 H71 H73:H76 H78:H79 H81:H84 H86:H90 H92:H97 H99:H110 H112:H115 H117:H118 H120:H123 H125:H126 H128 H130:H131 H133:H134 H136:H141 H143:H147 H149:H154 H156:H159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677</v>
      </c>
      <c r="B1" s="1"/>
    </row>
    <row r="2" customFormat="false" ht="13.8" hidden="false" customHeight="false" outlineLevel="0" collapsed="false">
      <c r="A2" s="3" t="s">
        <v>678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679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680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140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156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162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173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193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206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255</v>
      </c>
      <c r="B20" s="2" t="e">
        <f aca="false">of:=COUNTIFS('Test Cases'!B3:B400,"Templates",'Test Cases'!H3:H400,"Pass")</f>
        <v>#VALUE!</v>
      </c>
    </row>
    <row r="21" customFormat="false" ht="14.9" hidden="false" customHeight="false" outlineLevel="0" collapsed="false">
      <c r="A21" s="8" t="s">
        <v>290</v>
      </c>
      <c r="B21" s="2" t="e">
        <f aca="false">of:=COUNTIFS('Test Cases'!B3:B400,"Rich-text insert",'Test Cases'!H3:H400,"Pass")</f>
        <v>#VALUE!</v>
      </c>
    </row>
    <row r="22" customFormat="false" ht="14.9" hidden="false" customHeight="false" outlineLevel="0" collapsed="false">
      <c r="A22" s="8" t="s">
        <v>313</v>
      </c>
      <c r="B22" s="2" t="e">
        <f aca="false">of:=COUNTIFS('Test Cases'!B3:B400,"Notes format",'Test Cases'!H3:H400,"Pass")</f>
        <v>#VALUE!</v>
      </c>
    </row>
    <row r="23" customFormat="false" ht="14.9" hidden="false" customHeight="false" outlineLevel="0" collapsed="false">
      <c r="A23" s="8" t="s">
        <v>319</v>
      </c>
      <c r="B23" s="2" t="e">
        <f aca="false">of:=COUNTIFS('Test Cases'!B3:B400,"Navigation",'Test Cases'!H3:H400,"Pass")</f>
        <v>#VALUE!</v>
      </c>
    </row>
    <row r="24" customFormat="false" ht="14.9" hidden="false" customHeight="false" outlineLevel="0" collapsed="false">
      <c r="A24" s="8" t="s">
        <v>340</v>
      </c>
      <c r="B24" s="2" t="e">
        <f aca="false">of:=COUNTIFS('Test Cases'!B3:B400,"Photo download",'Test Cases'!H3:H400,"Pass")</f>
        <v>#VALUE!</v>
      </c>
    </row>
    <row r="25" customFormat="false" ht="14.9" hidden="false" customHeight="false" outlineLevel="0" collapsed="false">
      <c r="A25" s="8" t="s">
        <v>351</v>
      </c>
      <c r="B25" s="2" t="e">
        <f aca="false">of:=COUNTIFS('Test Cases'!B3:B400,"Case report",'Test Cases'!H3:H400,"Pass")</f>
        <v>#VALUE!</v>
      </c>
    </row>
    <row r="26" customFormat="false" ht="14.9" hidden="false" customHeight="false" outlineLevel="0" collapsed="false">
      <c r="A26" s="8" t="s">
        <v>372</v>
      </c>
      <c r="B26" s="2" t="e">
        <f aca="false">of:=COUNTIFS('Test Cases'!B3:B400,"Manager",'Test Cases'!H3:H400,"Pass")</f>
        <v>#VALUE!</v>
      </c>
    </row>
    <row r="27" customFormat="false" ht="14.9" hidden="false" customHeight="false" outlineLevel="0" collapsed="false">
      <c r="A27" s="8" t="s">
        <v>398</v>
      </c>
      <c r="B27" s="2" t="e">
        <f aca="false">of:=COUNTIFS('Test Cases'!B3:B400,"Manager edit",'Test Cases'!H3:H400,"Pass")</f>
        <v>#VALUE!</v>
      </c>
    </row>
    <row r="28" customFormat="false" ht="14.9" hidden="false" customHeight="false" outlineLevel="0" collapsed="false">
      <c r="A28" s="8" t="s">
        <v>427</v>
      </c>
      <c r="B28" s="2" t="e">
        <f aca="false">of:=COUNTIFS('Test Cases'!B3:B400,"RTE editor",'Test Cases'!H3:H400,"Pass")</f>
        <v>#VALUE!</v>
      </c>
    </row>
    <row r="29" customFormat="false" ht="14.9" hidden="false" customHeight="false" outlineLevel="0" collapsed="false">
      <c r="A29" s="8" t="s">
        <v>481</v>
      </c>
      <c r="B29" s="2" t="e">
        <f aca="false">of:=COUNTIFS('Test Cases'!B3:B400,"Teams",'Test Cases'!H3:H400,"Pass")</f>
        <v>#VALUE!</v>
      </c>
    </row>
    <row r="30" customFormat="false" ht="14.9" hidden="false" customHeight="false" outlineLevel="0" collapsed="false">
      <c r="A30" s="8" t="s">
        <v>501</v>
      </c>
      <c r="B30" s="2" t="e">
        <f aca="false">of:=COUNTIFS('Test Cases'!B3:B400,"History",'Test Cases'!H3:H400,"Pass")</f>
        <v>#VALUE!</v>
      </c>
    </row>
    <row r="31" customFormat="false" ht="14.9" hidden="false" customHeight="false" outlineLevel="0" collapsed="false">
      <c r="A31" s="8" t="s">
        <v>510</v>
      </c>
      <c r="B31" s="2" t="e">
        <f aca="false">of:=COUNTIFS('Test Cases'!B3:B400,"Usage",'Test Cases'!H3:H400,"Pass")</f>
        <v>#VALUE!</v>
      </c>
    </row>
    <row r="32" customFormat="false" ht="14.9" hidden="false" customHeight="false" outlineLevel="0" collapsed="false">
      <c r="A32" s="8" t="s">
        <v>531</v>
      </c>
      <c r="B32" s="2" t="e">
        <f aca="false">of:=COUNTIFS('Test Cases'!B3:B400,"Read-only",'Test Cases'!H3:H400,"Pass")</f>
        <v>#VALUE!</v>
      </c>
    </row>
    <row r="33" customFormat="false" ht="14.9" hidden="false" customHeight="false" outlineLevel="0" collapsed="false">
      <c r="A33" s="8" t="s">
        <v>542</v>
      </c>
      <c r="B33" s="2" t="e">
        <f aca="false">of:=COUNTIFS('Test Cases'!B3:B400,"Dark mode",'Test Cases'!H3:H400,"Pass")</f>
        <v>#VALUE!</v>
      </c>
    </row>
    <row r="34" customFormat="false" ht="14.9" hidden="false" customHeight="false" outlineLevel="0" collapsed="false">
      <c r="A34" s="8" t="s">
        <v>548</v>
      </c>
      <c r="B34" s="2" t="e">
        <f aca="false">of:=COUNTIFS('Test Cases'!B3:B400,"Background",'Test Cases'!H3:H400,"Pass")</f>
        <v>#VALUE!</v>
      </c>
    </row>
    <row r="35" customFormat="false" ht="14.9" hidden="false" customHeight="false" outlineLevel="0" collapsed="false">
      <c r="A35" s="8" t="s">
        <v>559</v>
      </c>
      <c r="B35" s="2" t="e">
        <f aca="false">of:=COUNTIFS('Test Cases'!B3:B400,"Diagnostics",'Test Cases'!H3:H400,"Pass")</f>
        <v>#VALUE!</v>
      </c>
    </row>
    <row r="36" customFormat="false" ht="14.9" hidden="false" customHeight="false" outlineLevel="0" collapsed="false">
      <c r="A36" s="8" t="s">
        <v>569</v>
      </c>
      <c r="B36" s="2" t="e">
        <f aca="false">of:=COUNTIFS('Test Cases'!B3:B400,"Security",'Test Cases'!H3:H400,"Pass")</f>
        <v>#VALUE!</v>
      </c>
    </row>
    <row r="37" customFormat="false" ht="14.9" hidden="false" customHeight="false" outlineLevel="0" collapsed="false">
      <c r="A37" s="8" t="s">
        <v>600</v>
      </c>
      <c r="B37" s="2" t="e">
        <f aca="false">of:=COUNTIFS('Test Cases'!B3:B400,"Acknowledgements",'Test Cases'!H3:H400,"Pass")</f>
        <v>#VALUE!</v>
      </c>
    </row>
    <row r="38" customFormat="false" ht="14.9" hidden="false" customHeight="false" outlineLevel="0" collapsed="false">
      <c r="A38" s="8" t="s">
        <v>626</v>
      </c>
      <c r="B38" s="2" t="e">
        <f aca="false">of:=COUNTIFS('Test Cases'!B3:B400,"Suggestions",'Test Cases'!H3:H400,"Pass")</f>
        <v>#VALUE!</v>
      </c>
    </row>
    <row r="39" customFormat="false" ht="14.9" hidden="false" customHeight="false" outlineLevel="0" collapsed="false">
      <c r="A39" s="8" t="s">
        <v>656</v>
      </c>
      <c r="B39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681</v>
      </c>
      <c r="B1" s="1"/>
    </row>
    <row r="2" customFormat="false" ht="35.8" hidden="false" customHeight="false" outlineLevel="0" collapsed="false">
      <c r="A2" s="8" t="s">
        <v>682</v>
      </c>
      <c r="B2" s="2" t="s">
        <v>683</v>
      </c>
    </row>
    <row r="3" customFormat="false" ht="25.35" hidden="false" customHeight="false" outlineLevel="0" collapsed="false">
      <c r="A3" s="8" t="s">
        <v>684</v>
      </c>
      <c r="B3" s="2" t="s">
        <v>685</v>
      </c>
    </row>
    <row r="4" customFormat="false" ht="14.9" hidden="false" customHeight="false" outlineLevel="0" collapsed="false">
      <c r="A4" s="8" t="s">
        <v>686</v>
      </c>
      <c r="B4" s="2" t="s">
        <v>687</v>
      </c>
    </row>
    <row r="5" customFormat="false" ht="14.9" hidden="false" customHeight="false" outlineLevel="0" collapsed="false">
      <c r="A5" s="8" t="s">
        <v>688</v>
      </c>
      <c r="B5" s="2" t="s">
        <v>689</v>
      </c>
    </row>
    <row r="6" customFormat="false" ht="25.35" hidden="false" customHeight="false" outlineLevel="0" collapsed="false">
      <c r="A6" s="8" t="s">
        <v>690</v>
      </c>
      <c r="B6" s="2" t="s">
        <v>691</v>
      </c>
    </row>
    <row r="7" customFormat="false" ht="14.9" hidden="false" customHeight="false" outlineLevel="0" collapsed="false">
      <c r="A7" s="8" t="s">
        <v>692</v>
      </c>
      <c r="B7" s="2" t="s">
        <v>693</v>
      </c>
    </row>
    <row r="8" customFormat="false" ht="25.35" hidden="false" customHeight="false" outlineLevel="0" collapsed="false">
      <c r="A8" s="8" t="s">
        <v>694</v>
      </c>
      <c r="B8" s="2" t="s">
        <v>695</v>
      </c>
    </row>
    <row r="9" customFormat="false" ht="25.35" hidden="false" customHeight="false" outlineLevel="0" collapsed="false">
      <c r="A9" s="8" t="s">
        <v>696</v>
      </c>
      <c r="B9" s="2" t="s">
        <v>697</v>
      </c>
    </row>
    <row r="10" customFormat="false" ht="14.9" hidden="false" customHeight="false" outlineLevel="0" collapsed="false">
      <c r="A10" s="8" t="s">
        <v>698</v>
      </c>
      <c r="B10" s="2" t="s">
        <v>699</v>
      </c>
    </row>
    <row r="11" customFormat="false" ht="14.9" hidden="false" customHeight="false" outlineLevel="0" collapsed="false">
      <c r="A11" s="8" t="s">
        <v>700</v>
      </c>
      <c r="B11" s="2" t="s">
        <v>701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