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Cases" sheetId="2" state="visible" r:id="rId4"/>
    <sheet name="Summary" sheetId="3" state="visible" r:id="rId5"/>
    <sheet name="Diagnostic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<sst xmlns="http://schemas.openxmlformats.org/spreadsheetml/2006/main" count="1573" uniqueCount="723">
  <si>
    <t xml:space="preserve">How to use this workbook</t>
  </si>
  <si>
    <t xml:space="preserve">Work through the 'Test Cases' sheet top to bottom. For each row set the Result cell (dropdown: Pass / Fail / Partial / N/A / Not run), and record what you saw in 'Actual / notes', plus your initials and the date.
There are 131 cases across all feature areas.
This is an internal self-check, not a formal/Quality validation. Use the Diagnostics sheet (or docs/Nucleus_Enhancer_Diagnostics.md) to capture detail when something misbehaves.</t>
  </si>
  <si>
    <t xml:space="preserve">Result colour key</t>
  </si>
  <si>
    <t xml:space="preserve">Pass</t>
  </si>
  <si>
    <t xml:space="preserve">Works as expected</t>
  </si>
  <si>
    <t xml:space="preserve">Fail</t>
  </si>
  <si>
    <t xml:space="preserve">Does not meet the expected result</t>
  </si>
  <si>
    <t xml:space="preserve">Partial</t>
  </si>
  <si>
    <t xml:space="preserve">Mostly works; note the caveat</t>
  </si>
  <si>
    <t xml:space="preserve">N/A</t>
  </si>
  <si>
    <t xml:space="preserve">Not applicable in this environment</t>
  </si>
  <si>
    <t xml:space="preserve">Not run</t>
  </si>
  <si>
    <t xml:space="preserve">Not yet tested</t>
  </si>
  <si>
    <t xml:space="preserve">Environment (record actuals)</t>
  </si>
  <si>
    <t xml:space="preserve">Browser + version</t>
  </si>
  <si>
    <t xml:space="preserve">Chrome ____ / Edge ____  (zoom 100%)</t>
  </si>
  <si>
    <t xml:space="preserve">OS</t>
  </si>
  <si>
    <t xml:space="preserve">Windows ____</t>
  </si>
  <si>
    <t xml:space="preserve">Salesforce org / sandbox</t>
  </si>
  <si>
    <t xml:space="preserve">____</t>
  </si>
  <si>
    <t xml:space="preserve">Account &amp; role</t>
  </si>
  <si>
    <t xml:space="preserve">____ (admin / member / no-team)</t>
  </si>
  <si>
    <t xml:space="preserve">Extension version</t>
  </si>
  <si>
    <t xml:space="preserve">3.0.0</t>
  </si>
  <si>
    <t xml:space="preserve">Tester</t>
  </si>
  <si>
    <t xml:space="preserve">Date</t>
  </si>
  <si>
    <t xml:space="preserve">CYFOR Nucleus Enhancer — Validation Results (v3.0.0)</t>
  </si>
  <si>
    <t xml:space="preserve">ID</t>
  </si>
  <si>
    <t xml:space="preserve">Area</t>
  </si>
  <si>
    <t xml:space="preserve">Feature</t>
  </si>
  <si>
    <t xml:space="preserve">Priority</t>
  </si>
  <si>
    <t xml:space="preserve">Pre-conditions</t>
  </si>
  <si>
    <t xml:space="preserve">Steps</t>
  </si>
  <si>
    <t xml:space="preserve">Expected result</t>
  </si>
  <si>
    <t xml:space="preserve">Result</t>
  </si>
  <si>
    <t xml:space="preserve">Actual / notes</t>
  </si>
  <si>
    <t xml:space="preserve">Install &amp; load</t>
  </si>
  <si>
    <t xml:space="preserve">I&amp;L-01</t>
  </si>
  <si>
    <t xml:space="preserve">Extension loads</t>
  </si>
  <si>
    <t xml:space="preserve">High</t>
  </si>
  <si>
    <t xml:space="preserve">Unpacked build loaded</t>
  </si>
  <si>
    <t xml:space="preserve">Open chrome://extensions</t>
  </si>
  <si>
    <t xml:space="preserve">Card shows, no errors; 'service worker' active (not 'errored')</t>
  </si>
  <si>
    <t xml:space="preserve"/>
  </si>
  <si>
    <t xml:space="preserve">I&amp;L-02</t>
  </si>
  <si>
    <t xml:space="preserve">Content scripts inject</t>
  </si>
  <si>
    <t xml:space="preserve">On a Salesforce Lightning page</t>
  </si>
  <si>
    <t xml:space="preserve">Open a Forensic Case / Exhibit Process record</t>
  </si>
  <si>
    <t xml:space="preserve">Injected UI appears (📄 button in Notes, nav arrows where applicable); page console shows no [Cyfor] errors</t>
  </si>
  <si>
    <t xml:space="preserve">I&amp;L-03</t>
  </si>
  <si>
    <t xml:space="preserve">Self-heal on update</t>
  </si>
  <si>
    <t xml:space="preserve">Medium</t>
  </si>
  <si>
    <t xml:space="preserve">A Salesforce tab already open</t>
  </si>
  <si>
    <t xml:space="preserve">Reload the extension (chrome://extensions ↻) WITHOUT refreshing the tab</t>
  </si>
  <si>
    <t xml:space="preserve">Injected features keep working / re-attach without a manual page refresh</t>
  </si>
  <si>
    <t xml:space="preserve">I&amp;L-04</t>
  </si>
  <si>
    <t xml:space="preserve">Service-worker fetch notice</t>
  </si>
  <si>
    <t xml:space="preserve">Low</t>
  </si>
  <si>
    <t xml:space="preserve">Edge extensions page</t>
  </si>
  <si>
    <t xml:space="preserve">Inspect the extension card</t>
  </si>
  <si>
    <t xml:space="preserve">Any 'unknown error fetching the script' is benign for unpacked builds; the worker still responds to a test command (Diagnostics §3)</t>
  </si>
  <si>
    <t xml:space="preserve">Popup — connection</t>
  </si>
  <si>
    <t xml:space="preserve">P—C-01</t>
  </si>
  <si>
    <t xml:space="preserve">Initial state</t>
  </si>
  <si>
    <t xml:space="preserve">Extension installed</t>
  </si>
  <si>
    <t xml:space="preserve">Open the popup before connecting</t>
  </si>
  <si>
    <t xml:space="preserve">Header 'Nucleus Enhancer' + version; connection shows 'Checking…' then 'Not connected'</t>
  </si>
  <si>
    <t xml:space="preserve">P—C-02</t>
  </si>
  <si>
    <t xml:space="preserve">Connect Salesforce</t>
  </si>
  <si>
    <t xml:space="preserve">Valid SF login</t>
  </si>
  <si>
    <t xml:space="preserve">Click 'Connect Salesforce', complete OAuth</t>
  </si>
  <si>
    <t xml:space="preserve">Returns connected: avatar, name, email; badge flips to connected</t>
  </si>
  <si>
    <t xml:space="preserve">P—C-03</t>
  </si>
  <si>
    <t xml:space="preserve">Sync now</t>
  </si>
  <si>
    <t xml:space="preserve">Connected</t>
  </si>
  <si>
    <t xml:space="preserve">Click 'Sync Now'</t>
  </si>
  <si>
    <t xml:space="preserve">Status shows syncing then 'N official templates · Last synced just now'</t>
  </si>
  <si>
    <t xml:space="preserve">P—C-04</t>
  </si>
  <si>
    <t xml:space="preserve">Disconnect</t>
  </si>
  <si>
    <t xml:space="preserve">Click 'Disconnect'</t>
  </si>
  <si>
    <t xml:space="preserve">Returns to 'Not connected'; Quick Insert official count drops</t>
  </si>
  <si>
    <t xml:space="preserve">P—C-05</t>
  </si>
  <si>
    <t xml:space="preserve">Offline handling</t>
  </si>
  <si>
    <t xml:space="preserve">Disconnected / no network</t>
  </si>
  <si>
    <t xml:space="preserve">Open popup</t>
  </si>
  <si>
    <t xml:space="preserve">No crash; clear not-connected state; Quick Insert still lists local templates only</t>
  </si>
  <si>
    <t xml:space="preserve">Quick Insert</t>
  </si>
  <si>
    <t xml:space="preserve">QI-01</t>
  </si>
  <si>
    <t xml:space="preserve">Loaded count</t>
  </si>
  <si>
    <t xml:space="preserve">Templates synced/uploaded</t>
  </si>
  <si>
    <t xml:space="preserve">Open popup Quick Insert</t>
  </si>
  <si>
    <t xml:space="preserve">Badge shows 'N loaded'; dropdown 'Select template…' lists templates A–Z</t>
  </si>
  <si>
    <t xml:space="preserve">QI-02</t>
  </si>
  <si>
    <t xml:space="preserve">Insert into active tab</t>
  </si>
  <si>
    <t xml:space="preserve">On a SF Notes/Forensic Strategy field; template selected</t>
  </si>
  <si>
    <t xml:space="preserve">Click 'Insert into Active Tab'</t>
  </si>
  <si>
    <t xml:space="preserve">Template inserted into the active editor; popup closes; status '"name" sent ✓'</t>
  </si>
  <si>
    <t xml:space="preserve">QI-03</t>
  </si>
  <si>
    <t xml:space="preserve">Insert with no editor</t>
  </si>
  <si>
    <t xml:space="preserve">Not on an editor field</t>
  </si>
  <si>
    <t xml:space="preserve">Click Insert</t>
  </si>
  <si>
    <t xml:space="preserve">Clear message e.g. 'Navigate to a Salesforce page first' / 'click inside the Notes…'</t>
  </si>
  <si>
    <t xml:space="preserve">QI-04</t>
  </si>
  <si>
    <t xml:space="preserve">Pin / unpin</t>
  </si>
  <si>
    <t xml:space="preserve">Template selected</t>
  </si>
  <si>
    <t xml:space="preserve">Click ☆</t>
  </si>
  <si>
    <t xml:space="preserve">Toggles ☆/★; pinned templates appear first in every menu; persists after reopen</t>
  </si>
  <si>
    <t xml:space="preserve">QI-05</t>
  </si>
  <si>
    <t xml:space="preserve">Preview</t>
  </si>
  <si>
    <t xml:space="preserve">Click 'Preview'</t>
  </si>
  <si>
    <t xml:space="preserve">Preview pane shows up to ~400 chars; closes with ✕</t>
  </si>
  <si>
    <t xml:space="preserve">QI-06</t>
  </si>
  <si>
    <t xml:space="preserve">Edit local vs official</t>
  </si>
  <si>
    <t xml:space="preserve">Select an Official template</t>
  </si>
  <si>
    <t xml:space="preserve">Click 'Edit'</t>
  </si>
  <si>
    <t xml:space="preserve">Editor opens read-only with note that official templates are managed in Salesforce; Save disabled</t>
  </si>
  <si>
    <t xml:space="preserve">Core toggles</t>
  </si>
  <si>
    <t xml:space="preserve">CT-01</t>
  </si>
  <si>
    <t xml:space="preserve">Right-Click Quick-Fill</t>
  </si>
  <si>
    <t xml:space="preserve">Popup open</t>
  </si>
  <si>
    <t xml:space="preserve">Toggle off, test a date field; toggle on</t>
  </si>
  <si>
    <t xml:space="preserve">Off = native menu; On = quick-fill works; state persists</t>
  </si>
  <si>
    <t xml:space="preserve">CT-02</t>
  </si>
  <si>
    <t xml:space="preserve">Right-Click Template Menu</t>
  </si>
  <si>
    <t xml:space="preserve">Toggle off/on, right-click in Notes</t>
  </si>
  <si>
    <t xml:space="preserve">Off = no template menu; On = menu appears; persists</t>
  </si>
  <si>
    <t xml:space="preserve">CT-03</t>
  </si>
  <si>
    <t xml:space="preserve">Nav Arrows</t>
  </si>
  <si>
    <t xml:space="preserve">On Exhibit Process</t>
  </si>
  <si>
    <t xml:space="preserve">Toggle off/on</t>
  </si>
  <si>
    <t xml:space="preserve">Arrows/shortcuts disabled/enabled accordingly</t>
  </si>
  <si>
    <t xml:space="preserve">CT-04</t>
  </si>
  <si>
    <t xml:space="preserve">Format List Notes</t>
  </si>
  <si>
    <t xml:space="preserve">List view with notes</t>
  </si>
  <si>
    <t xml:space="preserve">Notes formatting applied only when on</t>
  </si>
  <si>
    <t xml:space="preserve">CT-05</t>
  </si>
  <si>
    <t xml:space="preserve">Smart Auto-Insert</t>
  </si>
  <si>
    <t xml:space="preserve">New record form</t>
  </si>
  <si>
    <t xml:space="preserve">Toggle on; open empty Notes on a mapped process</t>
  </si>
  <si>
    <t xml:space="preserve">Template auto-inserted (toast 'Auto-inserted …'); off = suggestion only</t>
  </si>
  <si>
    <t xml:space="preserve">Columns</t>
  </si>
  <si>
    <t xml:space="preserve">C-01</t>
  </si>
  <si>
    <t xml:space="preserve">Detect columns</t>
  </si>
  <si>
    <t xml:space="preserve">List view open</t>
  </si>
  <si>
    <t xml:space="preserve">Open popup Table Columns</t>
  </si>
  <si>
    <t xml:space="preserve">Current table's columns listed; 'Scanning…' resolves</t>
  </si>
  <si>
    <t xml:space="preserve">C-02</t>
  </si>
  <si>
    <t xml:space="preserve">Reorder + reset</t>
  </si>
  <si>
    <t xml:space="preserve">Columns listed</t>
  </si>
  <si>
    <t xml:space="preserve">Drag to reorder; then 'Reset'</t>
  </si>
  <si>
    <t xml:space="preserve">Table follows the drag live; Reset returns BOTH the live table AND the popup list to Salesforce's natural order</t>
  </si>
  <si>
    <t xml:space="preserve">C-03</t>
  </si>
  <si>
    <t xml:space="preserve">Save / load / overwrite preset</t>
  </si>
  <si>
    <t xml:space="preserve">Reordered</t>
  </si>
  <si>
    <t xml:space="preserve">Save Preset (name it); reorder differently; Load the preset from the dropdown; re-save under the same name</t>
  </si>
  <si>
    <t xml:space="preserve">Load APPLIES instantly to the live table (not just a popup preview); re-saving an existing name asks to confirm overwrite</t>
  </si>
  <si>
    <t xml:space="preserve">Process mappings</t>
  </si>
  <si>
    <t xml:space="preserve">PM-01</t>
  </si>
  <si>
    <t xml:space="preserve">Map process→template</t>
  </si>
  <si>
    <t xml:space="preserve">Templates loaded; Sense Check type exists</t>
  </si>
  <si>
    <t xml:space="preserve">Expand Process → Template Mappings; map a type incl. 'Sense Check'</t>
  </si>
  <si>
    <t xml:space="preserve">Mapping saved; used by Smart Auto-Insert/suggestion</t>
  </si>
  <si>
    <t xml:space="preserve">Template upload</t>
  </si>
  <si>
    <t xml:space="preserve">TU-01</t>
  </si>
  <si>
    <t xml:space="preserve">Upload local .txt</t>
  </si>
  <si>
    <t xml:space="preserve">Have .txt files</t>
  </si>
  <si>
    <t xml:space="preserve">Select Template Folder</t>
  </si>
  <si>
    <t xml:space="preserve">'N user templates loaded · M official'; official always win name clashes</t>
  </si>
  <si>
    <t xml:space="preserve">TU-02</t>
  </si>
  <si>
    <t xml:space="preserve">Clear all</t>
  </si>
  <si>
    <t xml:space="preserve">Local templates loaded</t>
  </si>
  <si>
    <t xml:space="preserve">Click 'Clear All Templates'</t>
  </si>
  <si>
    <t xml:space="preserve">Local templates removed; official remain</t>
  </si>
  <si>
    <t xml:space="preserve">Theme</t>
  </si>
  <si>
    <t xml:space="preserve">T-01</t>
  </si>
  <si>
    <t xml:space="preserve">Picker Auto/Light/Dark</t>
  </si>
  <si>
    <t xml:space="preserve">Click each theme option</t>
  </si>
  <si>
    <t xml:space="preserve">Popup restyles immediately; selected button pressed-state</t>
  </si>
  <si>
    <t xml:space="preserve">T-02</t>
  </si>
  <si>
    <t xml:space="preserve">Live switch to manager</t>
  </si>
  <si>
    <t xml:space="preserve">Manager open in another tab</t>
  </si>
  <si>
    <t xml:space="preserve">Change theme in popup</t>
  </si>
  <si>
    <t xml:space="preserve">Open manager re-themes live with NO refresh</t>
  </si>
  <si>
    <t xml:space="preserve">T-03</t>
  </si>
  <si>
    <t xml:space="preserve">Live switch to page UI</t>
  </si>
  <si>
    <t xml:space="preserve">SF page open</t>
  </si>
  <si>
    <t xml:space="preserve">Change theme</t>
  </si>
  <si>
    <t xml:space="preserve">Injected UI (menus/toasts) follows the theme</t>
  </si>
  <si>
    <t xml:space="preserve">T-04</t>
  </si>
  <si>
    <t xml:space="preserve">Auto follows OS</t>
  </si>
  <si>
    <t xml:space="preserve">Theme = Auto</t>
  </si>
  <si>
    <t xml:space="preserve">Change OS light/dark</t>
  </si>
  <si>
    <t xml:space="preserve">Surfaces follow the OS without refresh</t>
  </si>
  <si>
    <t xml:space="preserve">Banners</t>
  </si>
  <si>
    <t xml:space="preserve">B-01</t>
  </si>
  <si>
    <t xml:space="preserve">Welcome banner</t>
  </si>
  <si>
    <t xml:space="preserve">First run</t>
  </si>
  <si>
    <t xml:space="preserve">'Welcome to Nucleus Enhancer 👋' shows; dismiss persists</t>
  </si>
  <si>
    <t xml:space="preserve">B-02</t>
  </si>
  <si>
    <t xml:space="preserve">What's New</t>
  </si>
  <si>
    <t xml:space="preserve">After update</t>
  </si>
  <si>
    <t xml:space="preserve">'What's new' shows once; dismiss persists</t>
  </si>
  <si>
    <t xml:space="preserve">B-03</t>
  </si>
  <si>
    <t xml:space="preserve">Help &amp; tips</t>
  </si>
  <si>
    <t xml:space="preserve">Expand Help &amp; tips</t>
  </si>
  <si>
    <t xml:space="preserve">All listed tips accurate to current behaviour</t>
  </si>
  <si>
    <t xml:space="preserve">Right-click</t>
  </si>
  <si>
    <t xml:space="preserve">R-01</t>
  </si>
  <si>
    <t xml:space="preserve">Date fill (British)</t>
  </si>
  <si>
    <t xml:space="preserve">Date field on a form</t>
  </si>
  <si>
    <t xml:space="preserve">Right-click the date field</t>
  </si>
  <si>
    <t xml:space="preserve">Fills today as DD/MM/YYYY; toast 'Date set to 20/06/2026'</t>
  </si>
  <si>
    <t xml:space="preserve">R-02</t>
  </si>
  <si>
    <t xml:space="preserve">Time fill (24h)</t>
  </si>
  <si>
    <t xml:space="preserve">Time field</t>
  </si>
  <si>
    <t xml:space="preserve">Right-click the time field</t>
  </si>
  <si>
    <t xml:space="preserve">Fills now as HH:MM (24h); toast 'Time set to 14:30'</t>
  </si>
  <si>
    <t xml:space="preserve">R-03</t>
  </si>
  <si>
    <t xml:space="preserve">Status cycle</t>
  </si>
  <si>
    <t xml:space="preserve">Status combobox</t>
  </si>
  <si>
    <t xml:space="preserve">Right-click repeatedly</t>
  </si>
  <si>
    <t xml:space="preserve">Cycles Awaiting Start→In Progress→Completed…; toast each step</t>
  </si>
  <si>
    <t xml:space="preserve">R-04</t>
  </si>
  <si>
    <t xml:space="preserve">Completed/Sealed By</t>
  </si>
  <si>
    <t xml:space="preserve">User lookup labelled Completed By/Sealed By</t>
  </si>
  <si>
    <t xml:space="preserve">Right-click the field</t>
  </si>
  <si>
    <t xml:space="preserve">Opens lookup, selects current user; toast 'Set to &lt;you&gt;'</t>
  </si>
  <si>
    <t xml:space="preserve">R-05</t>
  </si>
  <si>
    <t xml:space="preserve">Conducted By / Assigned Staff</t>
  </si>
  <si>
    <t xml:space="preserve">Those user lookups</t>
  </si>
  <si>
    <t xml:space="preserve">Same self-fill behaviour</t>
  </si>
  <si>
    <t xml:space="preserve">R-06</t>
  </si>
  <si>
    <t xml:space="preserve">Exhibit Type marker</t>
  </si>
  <si>
    <t xml:space="preserve">Exhibit Name contains a marker (SIM/MEM/SD/USB/HDD)</t>
  </si>
  <si>
    <t xml:space="preserve">Right-click Exhibit Type picklist</t>
  </si>
  <si>
    <t xml:space="preserve">Auto-selects SIM Card / Memory Card / USB Drive / Hard Drive accordingly; toast</t>
  </si>
  <si>
    <t xml:space="preserve">R-07</t>
  </si>
  <si>
    <t xml:space="preserve">Exhibit Type no marker</t>
  </si>
  <si>
    <t xml:space="preserve">Exhibit Name has no marker</t>
  </si>
  <si>
    <t xml:space="preserve">Right-click Exhibit Type</t>
  </si>
  <si>
    <t xml:space="preserve">Does nothing intrusive; a second right-click gives native menu</t>
  </si>
  <si>
    <t xml:space="preserve">R-08</t>
  </si>
  <si>
    <t xml:space="preserve">Forensic Case lookup</t>
  </si>
  <si>
    <t xml:space="preserve">Forensic Case lookup field</t>
  </si>
  <si>
    <t xml:space="preserve">Opens lookup, picks latest real case; toast 'Forensic case set to …' (no glued date)</t>
  </si>
  <si>
    <t xml:space="preserve">R-09</t>
  </si>
  <si>
    <t xml:space="preserve">Zoom 100% reliability</t>
  </si>
  <si>
    <t xml:space="preserve">Browser at 100%</t>
  </si>
  <si>
    <t xml:space="preserve">Right-click date &amp; exhibit-type fields a few times</t>
  </si>
  <si>
    <t xml:space="preserve">Works first time every time (re: the zoom root-cause)</t>
  </si>
  <si>
    <t xml:space="preserve">R-10</t>
  </si>
  <si>
    <t xml:space="preserve">Selectivity</t>
  </si>
  <si>
    <t xml:space="preserve">A non-target field</t>
  </si>
  <si>
    <t xml:space="preserve">Right-click a plain text field</t>
  </si>
  <si>
    <t xml:space="preserve">No quick-fill fires; native menu as normal</t>
  </si>
  <si>
    <t xml:space="preserve">Templates</t>
  </si>
  <si>
    <t xml:space="preserve">T-05</t>
  </si>
  <si>
    <t xml:space="preserve">Button opens menu</t>
  </si>
  <si>
    <t xml:space="preserve">Notes/Forensic Strategy field</t>
  </si>
  <si>
    <t xml:space="preserve">Click 📄 (single click, even unfocused)</t>
  </si>
  <si>
    <t xml:space="preserve">Menu opens first click; title shows count</t>
  </si>
  <si>
    <t xml:space="preserve">T-06</t>
  </si>
  <si>
    <t xml:space="preserve">Alt+T</t>
  </si>
  <si>
    <t xml:space="preserve">Active editor</t>
  </si>
  <si>
    <t xml:space="preserve">Press Alt+T</t>
  </si>
  <si>
    <t xml:space="preserve">Template menu opens on the first visible editor</t>
  </si>
  <si>
    <t xml:space="preserve">T-07</t>
  </si>
  <si>
    <t xml:space="preserve">Search + categories</t>
  </si>
  <si>
    <t xml:space="preserve">4+ templates / 2+ categories</t>
  </si>
  <si>
    <t xml:space="preserve">Type in search; pick a category</t>
  </si>
  <si>
    <t xml:space="preserve">Filters live; matches highlighted; category filter works</t>
  </si>
  <si>
    <t xml:space="preserve">T-08</t>
  </si>
  <si>
    <t xml:space="preserve">Recents + pins + badges</t>
  </si>
  <si>
    <t xml:space="preserve">Some recents/pins/official</t>
  </si>
  <si>
    <t xml:space="preserve">Open menu</t>
  </si>
  <si>
    <t xml:space="preserve">Recently used section; ★ pinned first; Official/Built-in badges; hover preview</t>
  </si>
  <si>
    <t xml:space="preserve">T-09</t>
  </si>
  <si>
    <t xml:space="preserve">Variable substitution</t>
  </si>
  <si>
    <t xml:space="preserve">Template with all variables</t>
  </si>
  <si>
    <t xml:space="preserve">Insert into Notes</t>
  </si>
  <si>
    <t xml:space="preserve">{{date}}/{{time}}/{{dateTime}} British; {{examiner}}/{{caseRef}}/{{teamName}} resolved or [placeholder]</t>
  </si>
  <si>
    <t xml:space="preserve">T-10</t>
  </si>
  <si>
    <t xml:space="preserve">Undo (Alt+Z / toast)</t>
  </si>
  <si>
    <t xml:space="preserve">Just inserted a template</t>
  </si>
  <si>
    <t xml:space="preserve">Press Alt+Z or click Undo</t>
  </si>
  <si>
    <t xml:space="preserve">Insertion removed; toast 'Undid "name" (just now)'</t>
  </si>
  <si>
    <t xml:space="preserve">T-11</t>
  </si>
  <si>
    <t xml:space="preserve">Forensic Strategy priority</t>
  </si>
  <si>
    <t xml:space="preserve">On a Forensic Strategy field</t>
  </si>
  <si>
    <t xml:space="preserve">Forensic Strategy template floated to top</t>
  </si>
  <si>
    <t xml:space="preserve">Rich-text insert</t>
  </si>
  <si>
    <t xml:space="preserve">RI-01</t>
  </si>
  <si>
    <t xml:space="preserve">Multi-block faithful</t>
  </si>
  <si>
    <t xml:space="preserve">Rich template (paras, list, colour, bold) saved</t>
  </si>
  <si>
    <t xml:space="preserve">Insert into Forensic Strategy</t>
  </si>
  <si>
    <t xml:space="preserve">ALL content appears (not just first line); formatting preserved within Quill's limits</t>
  </si>
  <si>
    <t xml:space="preserve">RI-02</t>
  </si>
  <si>
    <t xml:space="preserve">Indented bullets</t>
  </si>
  <si>
    <t xml:space="preserve">Template with indented bullets</t>
  </si>
  <si>
    <t xml:space="preserve">Insert</t>
  </si>
  <si>
    <t xml:space="preserve">Bullets survive; nothing after them is dropped (div→p + list repair)</t>
  </si>
  <si>
    <t xml:space="preserve">RI-03</t>
  </si>
  <si>
    <t xml:space="preserve">Colour &amp; size</t>
  </si>
  <si>
    <t xml:space="preserve">Template with coloured/sized text</t>
  </si>
  <si>
    <t xml:space="preserve">Colour and size carried through; default text renders black</t>
  </si>
  <si>
    <t xml:space="preserve">RI-04</t>
  </si>
  <si>
    <t xml:space="preserve">Plain template</t>
  </si>
  <si>
    <t xml:space="preserve">Plain-text template</t>
  </si>
  <si>
    <t xml:space="preserve">Inserts as plain text, unchanged behaviour</t>
  </si>
  <si>
    <t xml:space="preserve">RI-05</t>
  </si>
  <si>
    <t xml:space="preserve">Tables stripped gracefully</t>
  </si>
  <si>
    <t xml:space="preserve">Content that had a table pasted</t>
  </si>
  <si>
    <t xml:space="preserve">No table (Quill limit) but surrounding text intact; no corruption</t>
  </si>
  <si>
    <t xml:space="preserve">Notes format</t>
  </si>
  <si>
    <t xml:space="preserve">NF-01</t>
  </si>
  <si>
    <t xml:space="preserve">List-view expansion</t>
  </si>
  <si>
    <t xml:space="preserve">List view with a Notes column</t>
  </si>
  <si>
    <t xml:space="preserve">View the column</t>
  </si>
  <si>
    <t xml:space="preserve">Concatenated notes expanded into readable blocks; words un-glued; pinned-light styling readable</t>
  </si>
  <si>
    <t xml:space="preserve">Navigation</t>
  </si>
  <si>
    <t xml:space="preserve">N-01</t>
  </si>
  <si>
    <t xml:space="preserve">Alt+←/→</t>
  </si>
  <si>
    <t xml:space="preserve">Exhibit Process record from a list</t>
  </si>
  <si>
    <t xml:space="preserve">Press Alt+← / Alt+→</t>
  </si>
  <si>
    <t xml:space="preserve">Moves to prev/next record in list order</t>
  </si>
  <si>
    <t xml:space="preserve">N-02</t>
  </si>
  <si>
    <t xml:space="preserve">Counter + bounds</t>
  </si>
  <si>
    <t xml:space="preserve">Navigating</t>
  </si>
  <si>
    <t xml:space="preserve">Observe counter; reach list ends</t>
  </si>
  <si>
    <t xml:space="preserve">Counter '3 / 12' fades ~3s; buttons disable at start/end</t>
  </si>
  <si>
    <t xml:space="preserve">N-03</t>
  </si>
  <si>
    <t xml:space="preserve">Large list loads fully</t>
  </si>
  <si>
    <t xml:space="preserve">Case with &gt;21 processes</t>
  </si>
  <si>
    <t xml:space="preserve">Open it; click the first process</t>
  </si>
  <si>
    <t xml:space="preserve">Count shows the FULL total (e.g. 1/42), not 1/21; list briefly dims then settles at the top; stepping covers all</t>
  </si>
  <si>
    <t xml:space="preserve">N-04</t>
  </si>
  <si>
    <t xml:space="preserve">Revisit uses cache</t>
  </si>
  <si>
    <t xml:space="preserve">A case opened before (count unchanged)</t>
  </si>
  <si>
    <t xml:space="preserve">Re-open the same case; click a process</t>
  </si>
  <si>
    <t xml:space="preserve">Instant, no dim (served from cache); count still correct. Add a process then revisit → it reloads</t>
  </si>
  <si>
    <t xml:space="preserve">Case alias</t>
  </si>
  <si>
    <t xml:space="preserve">CA-01</t>
  </si>
  <si>
    <t xml:space="preserve">Shown where SF doesn't</t>
  </si>
  <si>
    <t xml:space="preserve">A forensic case that has a Project/alias</t>
  </si>
  <si>
    <t xml:space="preserve">Open a Task related to it; open the Recently Viewed cases list</t>
  </si>
  <si>
    <t xml:space="preserve">The project alias appears next to the case (e.g. 'CY-26-0542 · Tioga'); cases with no alias show nothing</t>
  </si>
  <si>
    <t xml:space="preserve">CA-02</t>
  </si>
  <si>
    <t xml:space="preserve">Not duplicated</t>
  </si>
  <si>
    <t xml:space="preserve">A list that already has a Project column (Examiner Team / All)</t>
  </si>
  <si>
    <t xml:space="preserve">Open it</t>
  </si>
  <si>
    <t xml:space="preserve">No extra alias added — the existing Project column is left alone</t>
  </si>
  <si>
    <t xml:space="preserve">CA-03</t>
  </si>
  <si>
    <t xml:space="preserve">Live toggle</t>
  </si>
  <si>
    <t xml:space="preserve">Aliases showing on a page</t>
  </si>
  <si>
    <t xml:space="preserve">Turn 'Show Case Project / Alias' off, then on — WITHOUT refreshing</t>
  </si>
  <si>
    <t xml:space="preserve">Off = aliases vanish immediately; On = they reappear immediately. No page refresh needed. (If the org has no Project field, the feature is silently inert)</t>
  </si>
  <si>
    <t xml:space="preserve">Photo download</t>
  </si>
  <si>
    <t xml:space="preserve">PD-01</t>
  </si>
  <si>
    <t xml:space="preserve">Download All</t>
  </si>
  <si>
    <t xml:space="preserve">Uploaded Documents section with photos</t>
  </si>
  <si>
    <t xml:space="preserve">Click 'Download All' → Start</t>
  </si>
  <si>
    <t xml:space="preserve">Files download; progress toasts; success count; button resets</t>
  </si>
  <si>
    <t xml:space="preserve">PD-02</t>
  </si>
  <si>
    <t xml:space="preserve">No photos / errors</t>
  </si>
  <si>
    <t xml:space="preserve">Section with no photos</t>
  </si>
  <si>
    <t xml:space="preserve">Click Download All</t>
  </si>
  <si>
    <t xml:space="preserve">Clear warning 'No photographs found'; no crash</t>
  </si>
  <si>
    <t xml:space="preserve">Case report</t>
  </si>
  <si>
    <t xml:space="preserve">CR-01</t>
  </si>
  <si>
    <t xml:space="preserve">Export from page</t>
  </si>
  <si>
    <t xml:space="preserve">Forensic Case record</t>
  </si>
  <si>
    <t xml:space="preserve">Click 'Export Case Report' in the action bar</t>
  </si>
  <si>
    <t xml:space="preserve">Sanitised HTML report downloads; success toast</t>
  </si>
  <si>
    <t xml:space="preserve">CR-02</t>
  </si>
  <si>
    <t xml:space="preserve">Export from popup</t>
  </si>
  <si>
    <t xml:space="preserve">On a case page</t>
  </si>
  <si>
    <t xml:space="preserve">Popup → 'Export Current Case'</t>
  </si>
  <si>
    <t xml:space="preserve">Popup closes; report generates on the page</t>
  </si>
  <si>
    <t xml:space="preserve">CR-03</t>
  </si>
  <si>
    <t xml:space="preserve">Button gating</t>
  </si>
  <si>
    <t xml:space="preserve">Not a case page</t>
  </si>
  <si>
    <t xml:space="preserve">Check popup/page</t>
  </si>
  <si>
    <t xml:space="preserve">Button disabled with hint to open a Forensic Case</t>
  </si>
  <si>
    <t xml:space="preserve">CR-04</t>
  </si>
  <si>
    <t xml:space="preserve">Sanitisation</t>
  </si>
  <si>
    <t xml:space="preserve">Report generated</t>
  </si>
  <si>
    <t xml:space="preserve">Open the HTML; check content</t>
  </si>
  <si>
    <t xml:space="preserve">Commercially-sensitive content stripped; case data correct; Save-as-PDF view works</t>
  </si>
  <si>
    <t xml:space="preserve">Manager</t>
  </si>
  <si>
    <t xml:space="preserve">M-01</t>
  </si>
  <si>
    <t xml:space="preserve">Views present</t>
  </si>
  <si>
    <t xml:space="preserve">Admin, manager open</t>
  </si>
  <si>
    <t xml:space="preserve">Click Templates / Reviews / Usage / About</t>
  </si>
  <si>
    <t xml:space="preserve">Each view loads; correct subtitle; 'At a glance' tiles (Active/Due ≤30/Overdue/Teams)</t>
  </si>
  <si>
    <t xml:space="preserve">M-02</t>
  </si>
  <si>
    <t xml:space="preserve">List columns &amp; badges</t>
  </si>
  <si>
    <t xml:space="preserve">Templates view</t>
  </si>
  <si>
    <t xml:space="preserve">Inspect the table</t>
  </si>
  <si>
    <t xml:space="preserve">Headers Doc ID/Name/Version/Status/Category/Scope/Review Due/Actions; status &amp; scope badges correct; own team highlighted</t>
  </si>
  <si>
    <t xml:space="preserve">M-03</t>
  </si>
  <si>
    <t xml:space="preserve">Search &amp; sort</t>
  </si>
  <si>
    <t xml:space="preserve">Several templates</t>
  </si>
  <si>
    <t xml:space="preserve">Use filter; click sortable headers</t>
  </si>
  <si>
    <t xml:space="preserve">Filters by name/category/team; sort indicators work</t>
  </si>
  <si>
    <t xml:space="preserve">M-04</t>
  </si>
  <si>
    <t xml:space="preserve">Review Due formatting</t>
  </si>
  <si>
    <t xml:space="preserve">Templates with review dates</t>
  </si>
  <si>
    <t xml:space="preserve">Inspect Review Due</t>
  </si>
  <si>
    <t xml:space="preserve">British DD/MM/YYYY; overdue red, ≤30d amber, with tooltips</t>
  </si>
  <si>
    <t xml:space="preserve">M-05</t>
  </si>
  <si>
    <t xml:space="preserve">Bulk ops</t>
  </si>
  <si>
    <t xml:space="preserve">Admin; rows selected</t>
  </si>
  <si>
    <t xml:space="preserve">Use bulk bar (set status / move team / delete)</t>
  </si>
  <si>
    <t xml:space="preserve">Applies sequentially with progress; failures reported; no version snapshot for metadata-only</t>
  </si>
  <si>
    <t xml:space="preserve">Manager edit</t>
  </si>
  <si>
    <t xml:space="preserve">ME-01</t>
  </si>
  <si>
    <t xml:space="preserve">Create template</t>
  </si>
  <si>
    <t xml:space="preserve">Admin</t>
  </si>
  <si>
    <t xml:space="preserve">New Template → fill → Save to Salesforce</t>
  </si>
  <si>
    <t xml:space="preserve">Saved; appears in list; effective/review dates British; v1.0</t>
  </si>
  <si>
    <t xml:space="preserve">ME-02</t>
  </si>
  <si>
    <t xml:space="preserve">Edit content → version bump</t>
  </si>
  <si>
    <t xml:space="preserve">Existing template</t>
  </si>
  <si>
    <t xml:space="preserve">Change CONTENT, pick minor/major, give reason, save</t>
  </si>
  <si>
    <t xml:space="preserve">Version bumps; reason required; new history snapshot</t>
  </si>
  <si>
    <t xml:space="preserve">ME-03</t>
  </si>
  <si>
    <t xml:space="preserve">Metadata-only edit</t>
  </si>
  <si>
    <t xml:space="preserve">Change only status/team/date, save</t>
  </si>
  <si>
    <t xml:space="preserve">No version bump; no reason required; no new snapshot</t>
  </si>
  <si>
    <t xml:space="preserve">ME-04</t>
  </si>
  <si>
    <t xml:space="preserve">Clone as draft</t>
  </si>
  <si>
    <t xml:space="preserve">Clone</t>
  </si>
  <si>
    <t xml:space="preserve">Opens new editor, status Draft, name '(Copy)', reason prefilled</t>
  </si>
  <si>
    <t xml:space="preserve">ME-05</t>
  </si>
  <si>
    <t xml:space="preserve">Delete with history</t>
  </si>
  <si>
    <t xml:space="preserve">Template with versions</t>
  </si>
  <si>
    <t xml:space="preserve">Delete → confirm</t>
  </si>
  <si>
    <t xml:space="preserve">Child versions removed first, then template; clear messaging</t>
  </si>
  <si>
    <t xml:space="preserve">ME-06</t>
  </si>
  <si>
    <t xml:space="preserve">Delete hidden without permission</t>
  </si>
  <si>
    <t xml:space="preserve">Admin whose Salesforce DELETE permission has been removed (e.g. at go-live)</t>
  </si>
  <si>
    <t xml:space="preserve">Open Manager templates list + bulk bar</t>
  </si>
  <si>
    <t xml:space="preserve">No Delete buttons appear (row or bulk) — gated on the real Salesforce permission, not just the IsAdmin flag; reload + sync after the permission change</t>
  </si>
  <si>
    <t xml:space="preserve">ME-07</t>
  </si>
  <si>
    <t xml:space="preserve">Status lifecycle</t>
  </si>
  <si>
    <t xml:space="preserve">Editing</t>
  </si>
  <si>
    <t xml:space="preserve">Set Draft/Active/Under Review/Superseded/Retired</t>
  </si>
  <si>
    <t xml:space="preserve">Only Active reaches analysts; others hidden from insert menus</t>
  </si>
  <si>
    <t xml:space="preserve">RTE editor</t>
  </si>
  <si>
    <t xml:space="preserve">RE-01</t>
  </si>
  <si>
    <t xml:space="preserve">Default font/size</t>
  </si>
  <si>
    <t xml:space="preserve">New template editor</t>
  </si>
  <si>
    <t xml:space="preserve">Click into body</t>
  </si>
  <si>
    <t xml:space="preserve">Default presents as Salesforce Sans 13 (system fallback locally); font box shows 'Salesforce Sans'</t>
  </si>
  <si>
    <t xml:space="preserve">RE-02</t>
  </si>
  <si>
    <t xml:space="preserve">Bold/italic/underline/strike</t>
  </si>
  <si>
    <t xml:space="preserve">Editor</t>
  </si>
  <si>
    <t xml:space="preserve">Apply each</t>
  </si>
  <si>
    <t xml:space="preserve">Formatting applied; buttons show active state on selection</t>
  </si>
  <si>
    <t xml:space="preserve">RE-03</t>
  </si>
  <si>
    <t xml:space="preserve">Lists + highlight</t>
  </si>
  <si>
    <t xml:space="preserve">Make bullet &amp; numbered lists</t>
  </si>
  <si>
    <t xml:space="preserve">Lists apply; the list button highlights when cursor inside that list</t>
  </si>
  <si>
    <t xml:space="preserve">RE-04</t>
  </si>
  <si>
    <t xml:space="preserve">Alignment + indent</t>
  </si>
  <si>
    <t xml:space="preserve">Left/centre/right/justify + indent/outdent</t>
  </si>
  <si>
    <t xml:space="preserve">Applied; alignment buttons reflect state</t>
  </si>
  <si>
    <t xml:space="preserve">RE-05</t>
  </si>
  <si>
    <t xml:space="preserve">Font / size (px)</t>
  </si>
  <si>
    <t xml:space="preserve">Pick a font and a px size (e.g. 16)</t>
  </si>
  <si>
    <t xml:space="preserve">Applied to selection; boxes reflect cursor; blank when selection is mixed</t>
  </si>
  <si>
    <t xml:space="preserve">RE-06</t>
  </si>
  <si>
    <t xml:space="preserve">Colour swatch</t>
  </si>
  <si>
    <t xml:space="preserve">Pick a colour; click default text</t>
  </si>
  <si>
    <t xml:space="preserve">Swatch shows chosen colour; for default text shows BLACK (the effective colour), not dark-mode white</t>
  </si>
  <si>
    <t xml:space="preserve">RE-07</t>
  </si>
  <si>
    <t xml:space="preserve">Link</t>
  </si>
  <si>
    <t xml:space="preserve">Insert a link</t>
  </si>
  <si>
    <t xml:space="preserve">Wraps selection / inserts URL; opens safely</t>
  </si>
  <si>
    <t xml:space="preserve">RE-08</t>
  </si>
  <si>
    <t xml:space="preserve">Image file-picker auto-fit</t>
  </si>
  <si>
    <t xml:space="preserve">Insert image → pick a file (e.g. logo)</t>
  </si>
  <si>
    <t xml:space="preserve">File explorer opens; image auto-shrunk to fit; embeds; or clear 'too large' message</t>
  </si>
  <si>
    <t xml:space="preserve">RE-09</t>
  </si>
  <si>
    <t xml:space="preserve">Paste from Word</t>
  </si>
  <si>
    <t xml:space="preserve">Word/Salesforce content on clipboard</t>
  </si>
  <si>
    <t xml:space="preserve">Paste into the body</t>
  </si>
  <si>
    <t xml:space="preserve">Formatting kept (bold/lists/colour); tables/scripts stripped; bullets work</t>
  </si>
  <si>
    <t xml:space="preserve">RE-10</t>
  </si>
  <si>
    <t xml:space="preserve">Live selection readout</t>
  </si>
  <si>
    <t xml:space="preserve">Mixed-format content</t>
  </si>
  <si>
    <t xml:space="preserve">Click around / select across formats</t>
  </si>
  <si>
    <t xml:space="preserve">Toolbar reflects cursor; boxes blank on mixed selection (Word-like)</t>
  </si>
  <si>
    <t xml:space="preserve">RE-11</t>
  </si>
  <si>
    <t xml:space="preserve">Character counter + guard</t>
  </si>
  <si>
    <t xml:space="preserve">Type/paste a lot; watch counter; try to exceed</t>
  </si>
  <si>
    <t xml:space="preserve">Counter 'used / 32,768'; turns red over limit; save blocked with a clear message (not a raw SF error)</t>
  </si>
  <si>
    <t xml:space="preserve">RE-12</t>
  </si>
  <si>
    <t xml:space="preserve">Dark-mode paste visible</t>
  </si>
  <si>
    <t xml:space="preserve">Dark theme; paste black text from Salesforce</t>
  </si>
  <si>
    <t xml:space="preserve">Paste into editor</t>
  </si>
  <si>
    <t xml:space="preserve">Text is readable (white) in the dark editor; inserts black in Salesforce</t>
  </si>
  <si>
    <t xml:space="preserve">Teams</t>
  </si>
  <si>
    <t xml:space="preserve">T-12</t>
  </si>
  <si>
    <t xml:space="preserve">Single-team fallback</t>
  </si>
  <si>
    <t xml:space="preserve">No Teams__c field</t>
  </si>
  <si>
    <t xml:space="preserve">Edit a template</t>
  </si>
  <si>
    <t xml:space="preserve">Single Team dropdown (Global + teams); behaves as before</t>
  </si>
  <si>
    <t xml:space="preserve">T-13</t>
  </si>
  <si>
    <t xml:space="preserve">Multi-team picker</t>
  </si>
  <si>
    <t xml:space="preserve">Teams__c field exists</t>
  </si>
  <si>
    <t xml:space="preserve">Checkbox list of teams; tick several (e.g. DF + Cyber); none = Global</t>
  </si>
  <si>
    <t xml:space="preserve">T-14</t>
  </si>
  <si>
    <t xml:space="preserve">Multi-team visibility</t>
  </si>
  <si>
    <t xml:space="preserve">Template set to DF+Cyber</t>
  </si>
  <si>
    <t xml:space="preserve">Log in as DF member, then eDiscovery member</t>
  </si>
  <si>
    <t xml:space="preserve">DF sees it; eDiscovery does NOT; Global member sees Global only</t>
  </si>
  <si>
    <t xml:space="preserve">T-15</t>
  </si>
  <si>
    <t xml:space="preserve">Badges show teams</t>
  </si>
  <si>
    <t xml:space="preserve">Multi-team template</t>
  </si>
  <si>
    <t xml:space="preserve">View list</t>
  </si>
  <si>
    <t xml:space="preserve">Scope badge shows the team codes; own team highlighted</t>
  </si>
  <si>
    <t xml:space="preserve">History</t>
  </si>
  <si>
    <t xml:space="preserve">H-01</t>
  </si>
  <si>
    <t xml:space="preserve">View history + diff</t>
  </si>
  <si>
    <t xml:space="preserve">Open History; compare two versions</t>
  </si>
  <si>
    <t xml:space="preserve">Snapshots listed (British timestamps); diff shows added/removed; readable (text, not HTML markup)</t>
  </si>
  <si>
    <t xml:space="preserve">H-02</t>
  </si>
  <si>
    <t xml:space="preserve">Export CSV</t>
  </si>
  <si>
    <t xml:space="preserve">History open</t>
  </si>
  <si>
    <t xml:space="preserve">CSV downloads with versions/reasons/dates</t>
  </si>
  <si>
    <t xml:space="preserve">Usage</t>
  </si>
  <si>
    <t xml:space="preserve">U-01</t>
  </si>
  <si>
    <t xml:space="preserve">Local log</t>
  </si>
  <si>
    <t xml:space="preserve">Inserted templates on this device</t>
  </si>
  <si>
    <t xml:space="preserve">Manager → Usage</t>
  </si>
  <si>
    <t xml:space="preserve">Entries newest-first; columns When/Template/Record/User; British date+time</t>
  </si>
  <si>
    <t xml:space="preserve">U-02</t>
  </si>
  <si>
    <t xml:space="preserve">Record link capture</t>
  </si>
  <si>
    <t xml:space="preserve">Insert in a record page vs a list pop-up</t>
  </si>
  <si>
    <t xml:space="preserve">Compare entries</t>
  </si>
  <si>
    <t xml:space="preserve">Record page inserts carry a record link; list pop-up inserts don't (as documented)</t>
  </si>
  <si>
    <t xml:space="preserve">U-03</t>
  </si>
  <si>
    <t xml:space="preserve">Filters + sort</t>
  </si>
  <si>
    <t xml:space="preserve">Several entries</t>
  </si>
  <si>
    <t xml:space="preserve">Use search + template/user filters + sortable headers</t>
  </si>
  <si>
    <t xml:space="preserve">Filter and sort work; British formats preserved</t>
  </si>
  <si>
    <t xml:space="preserve">U-04</t>
  </si>
  <si>
    <t xml:space="preserve">Org-wide (if object exists)</t>
  </si>
  <si>
    <t xml:space="preserve">Usage object deployed</t>
  </si>
  <si>
    <t xml:space="preserve">Admin → Usage</t>
  </si>
  <si>
    <t xml:space="preserve">Switches to org-wide; warning banner if writes rejected (object 'In Development')</t>
  </si>
  <si>
    <t xml:space="preserve">Read-only</t>
  </si>
  <si>
    <t xml:space="preserve">R-11</t>
  </si>
  <si>
    <t xml:space="preserve">Non-admin viewer</t>
  </si>
  <si>
    <t xml:space="preserve">Ordinary member login</t>
  </si>
  <si>
    <t xml:space="preserve">Open Manager</t>
  </si>
  <si>
    <t xml:space="preserve">Read-only: no New/Edit/Delete, no Reviews tab; View + History only; correct subtitle</t>
  </si>
  <si>
    <t xml:space="preserve">R-12</t>
  </si>
  <si>
    <t xml:space="preserve">Scope correctness</t>
  </si>
  <si>
    <t xml:space="preserve">Member of team DF</t>
  </si>
  <si>
    <t xml:space="preserve">Browse templates</t>
  </si>
  <si>
    <t xml:space="preserve">Sees DF active templates + Global only; nothing from other teams</t>
  </si>
  <si>
    <t xml:space="preserve">Dark mode</t>
  </si>
  <si>
    <t xml:space="preserve">DM-01</t>
  </si>
  <si>
    <t xml:space="preserve">Parity sweep</t>
  </si>
  <si>
    <t xml:space="preserve">Dark theme</t>
  </si>
  <si>
    <t xml:space="preserve">Open popup + manager + a record page</t>
  </si>
  <si>
    <t xml:space="preserve">All surfaces legible; no white-on-white or black-on-black; focus rings visible</t>
  </si>
  <si>
    <t xml:space="preserve">Background</t>
  </si>
  <si>
    <t xml:space="preserve">B-04</t>
  </si>
  <si>
    <t xml:space="preserve">20-min sync + manual</t>
  </si>
  <si>
    <t xml:space="preserve">Connected, SF tab open</t>
  </si>
  <si>
    <t xml:space="preserve">Wait for auto-sync / force via Diagnostics</t>
  </si>
  <si>
    <t xml:space="preserve">Templates refresh on schedule and on demand</t>
  </si>
  <si>
    <t xml:space="preserve">B-05</t>
  </si>
  <si>
    <t xml:space="preserve">Review notification</t>
  </si>
  <si>
    <t xml:space="preserve">Admin; overdue templates</t>
  </si>
  <si>
    <t xml:space="preserve">Trigger a sync</t>
  </si>
  <si>
    <t xml:space="preserve">At most one notification/day; click opens manager</t>
  </si>
  <si>
    <t xml:space="preserve">Diagnostics</t>
  </si>
  <si>
    <t xml:space="preserve">D-01</t>
  </si>
  <si>
    <t xml:space="preserve">Capture + download</t>
  </si>
  <si>
    <t xml:space="preserve">Popup → Diagnostics → turn ON Capture; do a few actions (insert, right-click); Download log; open the .txt</t>
  </si>
  <si>
    <t xml:space="preserve">Toggle persists; events captured; file downloads and opens as clean UTF-8 (no mojibake); shows actions WITH outcomes (e.g. 'date set')</t>
  </si>
  <si>
    <t xml:space="preserve">D-02</t>
  </si>
  <si>
    <t xml:space="preserve">Off by default + clear</t>
  </si>
  <si>
    <t xml:space="preserve">Fresh install</t>
  </si>
  <si>
    <t xml:space="preserve">Check the toggle; use Clear</t>
  </si>
  <si>
    <t xml:space="preserve">Off by default — nothing recorded until enabled; Clear empties the buffer; turning on starts fresh. Safety: buffer capped at 2,000 events; if left on it auto-disables after 24h</t>
  </si>
  <si>
    <t xml:space="preserve">Security</t>
  </si>
  <si>
    <t xml:space="preserve">S-01</t>
  </si>
  <si>
    <t xml:space="preserve">Admin gating</t>
  </si>
  <si>
    <t xml:space="preserve">Non-admin</t>
  </si>
  <si>
    <t xml:space="preserve">Attempt admin actions</t>
  </si>
  <si>
    <t xml:space="preserve">Cannot create/edit/delete; listAll returns PERMISSION_DENIED → read-only viewer</t>
  </si>
  <si>
    <t xml:space="preserve">S-02</t>
  </si>
  <si>
    <t xml:space="preserve">Acts as the user</t>
  </si>
  <si>
    <t xml:space="preserve">Any user</t>
  </si>
  <si>
    <t xml:space="preserve">Inspect access</t>
  </si>
  <si>
    <t xml:space="preserve">Extension only sees/does what the SF user can; no elevated access</t>
  </si>
  <si>
    <t xml:space="preserve">S-03</t>
  </si>
  <si>
    <t xml:space="preserve">No secrets shipped</t>
  </si>
  <si>
    <t xml:space="preserve">Build</t>
  </si>
  <si>
    <t xml:space="preserve">Inspect package</t>
  </si>
  <si>
    <t xml:space="preserve">No OAuth secrets in the extension; config.js gitignored</t>
  </si>
  <si>
    <t xml:space="preserve">S-04</t>
  </si>
  <si>
    <t xml:space="preserve">OAuth flow (PKCE + state)</t>
  </si>
  <si>
    <t xml:space="preserve">Connecting</t>
  </si>
  <si>
    <t xml:space="preserve">Disconnect, then Connect Salesforce</t>
  </si>
  <si>
    <t xml:space="preserve">Sign-in completes normally; the flow uses PKCE and a CSRF 'state' the extension verifies. A tampered/mismatched callback aborts with STATE_MISMATCH in the service-worker console</t>
  </si>
  <si>
    <t xml:space="preserve">S-05</t>
  </si>
  <si>
    <t xml:space="preserve">Multi-team membership</t>
  </si>
  <si>
    <t xml:space="preserve">User with 2+ NucleusTeamMember__c records (different teams)</t>
  </si>
  <si>
    <t xml:space="preserve">Connect; open the template menu + manager About</t>
  </si>
  <si>
    <t xml:space="preserve">Identity shows 'Team A · Team B'; menu/manager list templates targeted at EITHER team plus Global — and NOTHING from teams the user is not in. Admin if IsAdmin__c is set on any membership</t>
  </si>
  <si>
    <t xml:space="preserve">S-06</t>
  </si>
  <si>
    <t xml:space="preserve">Single-team unchanged</t>
  </si>
  <si>
    <t xml:space="preserve">User in exactly one team</t>
  </si>
  <si>
    <t xml:space="preserve">Connect; open the template menu</t>
  </si>
  <si>
    <t xml:space="preserve">Behaves exactly as before — their team's templates + Global; identity shows the one team</t>
  </si>
  <si>
    <t xml:space="preserve">Acknowledgements</t>
  </si>
  <si>
    <t xml:space="preserve">A-01</t>
  </si>
  <si>
    <t xml:space="preserve">Mark a controlled doc</t>
  </si>
  <si>
    <t xml:space="preserve">Admin; a template</t>
  </si>
  <si>
    <t xml:space="preserve">Tick 'Requires acknowledgement' on it; Save</t>
  </si>
  <si>
    <t xml:space="preserve">It becomes a controlled document — an Acknowledge chip appears for members of its team(s)</t>
  </si>
  <si>
    <t xml:space="preserve">A-02</t>
  </si>
  <si>
    <t xml:space="preserve">Analyst acknowledges</t>
  </si>
  <si>
    <t xml:space="preserve">Template ticked RequiresAck; member of its team</t>
  </si>
  <si>
    <t xml:space="preserve">Open it in the manager → click 'I have read &amp; understood vX'</t>
  </si>
  <si>
    <t xml:space="preserve">Chip flips to '✓ Acknowledged'; banner count drops; a NucleusTemplateAck__c record is created (CreatedBy = you)</t>
  </si>
  <si>
    <t xml:space="preserve">A-03</t>
  </si>
  <si>
    <t xml:space="preserve">Re-ack on new version</t>
  </si>
  <si>
    <t xml:space="preserve">Already acknowledged a controlled template</t>
  </si>
  <si>
    <t xml:space="preserve">Admin publishes a new version; re-sync</t>
  </si>
  <si>
    <t xml:space="preserve">Shows outstanding again — the old acknowledgement no longer matches the current version</t>
  </si>
  <si>
    <t xml:space="preserve">A-04</t>
  </si>
  <si>
    <t xml:space="preserve">Admin matrix</t>
  </si>
  <si>
    <t xml:space="preserve">Admin; some acknowledgements recorded</t>
  </si>
  <si>
    <t xml:space="preserve">Manager → Acknowledgements tab</t>
  </si>
  <si>
    <t xml:space="preserve">Per controlled template: acked/total + %, status, and the OUTSTANDING members' names — scoped to the template's assigned team(s)</t>
  </si>
  <si>
    <t xml:space="preserve">A-05</t>
  </si>
  <si>
    <t xml:space="preserve">Outstanding nudge</t>
  </si>
  <si>
    <t xml:space="preserve">Outstanding controlled templates for you</t>
  </si>
  <si>
    <t xml:space="preserve">Trigger a background sync (SF tab open)</t>
  </si>
  <si>
    <t xml:space="preserve">At most one browser notification per day; clicking it opens the manager</t>
  </si>
  <si>
    <t xml:space="preserve">Suggestions</t>
  </si>
  <si>
    <t xml:space="preserve">S-07</t>
  </si>
  <si>
    <t xml:space="preserve">Member suggests an edit</t>
  </si>
  <si>
    <t xml:space="preserve">Member (read-only viewer)</t>
  </si>
  <si>
    <t xml:space="preserve">Click 'Suggest edit' on a template; change the text + add a reason; Send</t>
  </si>
  <si>
    <t xml:space="preserve">Confirmation shown; a NucleusTemplateChangeRequest__c (Pending) is created by you. Template itself is unchanged</t>
  </si>
  <si>
    <t xml:space="preserve">S-08</t>
  </si>
  <si>
    <t xml:space="preserve">Admin sees pending</t>
  </si>
  <si>
    <t xml:space="preserve">Admin; a suggestion exists</t>
  </si>
  <si>
    <t xml:space="preserve">Open the manager</t>
  </si>
  <si>
    <t xml:space="preserve">'Suggestions' tab appears with a count badge; the suggestion is listed with submitter + reason</t>
  </si>
  <si>
    <t xml:space="preserve">S-09</t>
  </si>
  <si>
    <t xml:space="preserve">Diff</t>
  </si>
  <si>
    <t xml:space="preserve">Admin; Suggestions tab</t>
  </si>
  <si>
    <t xml:space="preserve">Click 'View diff'</t>
  </si>
  <si>
    <t xml:space="preserve">Side-by-side added/removed lines: suggested vs current version</t>
  </si>
  <si>
    <t xml:space="preserve">S-10</t>
  </si>
  <si>
    <t xml:space="preserve">Apply</t>
  </si>
  <si>
    <t xml:space="preserve">Admin; a suggestion</t>
  </si>
  <si>
    <t xml:space="preserve">Click 'Apply…'</t>
  </si>
  <si>
    <t xml:space="preserve">Request marked Approved; editor opens prefilled with the proposed content + a change reason; Saving publishes a normal new version</t>
  </si>
  <si>
    <t xml:space="preserve">S-11</t>
  </si>
  <si>
    <t xml:space="preserve">Reject</t>
  </si>
  <si>
    <t xml:space="preserve">Click 'Reject' and confirm</t>
  </si>
  <si>
    <t xml:space="preserve">Request marked Rejected; it leaves the pending list; template unchanged</t>
  </si>
  <si>
    <t xml:space="preserve">S-12</t>
  </si>
  <si>
    <t xml:space="preserve">Admin nudge</t>
  </si>
  <si>
    <t xml:space="preserve">Pending suggestions exist</t>
  </si>
  <si>
    <t xml:space="preserve">Trigger a background sync</t>
  </si>
  <si>
    <t xml:space="preserve">At most one browser notification per day to admins; clicking opens the manager</t>
  </si>
  <si>
    <t xml:space="preserve">UX</t>
  </si>
  <si>
    <t xml:space="preserve">U-05</t>
  </si>
  <si>
    <t xml:space="preserve">Layout &amp; overflow</t>
  </si>
  <si>
    <t xml:space="preserve">All surfaces</t>
  </si>
  <si>
    <t xml:space="preserve">Resize popup/manager; long names</t>
  </si>
  <si>
    <t xml:space="preserve">No clipping/overflow; tooltips for truncation; narrow-width holds</t>
  </si>
  <si>
    <t xml:space="preserve">U-06</t>
  </si>
  <si>
    <t xml:space="preserve">British spelling</t>
  </si>
  <si>
    <t xml:space="preserve">UI text</t>
  </si>
  <si>
    <t xml:space="preserve">Scan labels (e.g. 'centre')</t>
  </si>
  <si>
    <t xml:space="preserve">British spellings; consistent terminology</t>
  </si>
  <si>
    <t xml:space="preserve">U-07</t>
  </si>
  <si>
    <t xml:space="preserve">Copy accuracy</t>
  </si>
  <si>
    <t xml:space="preserve">All toasts/labels</t>
  </si>
  <si>
    <t xml:space="preserve">Cross-check against actions</t>
  </si>
  <si>
    <t xml:space="preserve">Wording matches behaviour; no stale strings</t>
  </si>
  <si>
    <t xml:space="preserve">U-08</t>
  </si>
  <si>
    <t xml:space="preserve">Empty states</t>
  </si>
  <si>
    <t xml:space="preserve">No data conditions</t>
  </si>
  <si>
    <t xml:space="preserve">View empty list/usage/reviews</t>
  </si>
  <si>
    <t xml:space="preserve">Helpful empty-state messages, not blank panels</t>
  </si>
  <si>
    <t xml:space="preserve">Summary</t>
  </si>
  <si>
    <t xml:space="preserve">Overall (live counts from the Result column)</t>
  </si>
  <si>
    <t xml:space="preserve">Total cases</t>
  </si>
  <si>
    <t xml:space="preserve">Per-area (Pass / Fail)</t>
  </si>
  <si>
    <t xml:space="preserve">Diagnostics quick reference</t>
  </si>
  <si>
    <t xml:space="preserve">Capture a diagnostic log (easy)</t>
  </si>
  <si>
    <t xml:space="preserve">Popup → Diagnostics → switch ON 'Capture diagnostic log'. Refresh the Salesforce tab, reproduce the issue / run the tests, then Popup → 'Download log' to save a .txt to send to support. (The spreadsheet is your Pass/Fail record; this log is just technical detail for diagnosing failures.)</t>
  </si>
  <si>
    <t xml:space="preserve">Manual toggle (advanced)</t>
  </si>
  <si>
    <t xml:space="preserve">Service-worker console: chrome.storage.local.set({ cyforDebug: true }); then refresh the Salesforce tab. Disable with false.</t>
  </si>
  <si>
    <t xml:space="preserve">Open the service-worker console</t>
  </si>
  <si>
    <t xml:space="preserve">chrome://extensions → CYFOR Nucleus Enhancer → 'Inspect views: service worker'.</t>
  </si>
  <si>
    <t xml:space="preserve">Content-script logs</t>
  </si>
  <si>
    <t xml:space="preserve">Appear in the PAGE console (F12 on the Salesforce tab). Filter with [Cyfor.</t>
  </si>
  <si>
    <t xml:space="preserve">Inspect stored state</t>
  </si>
  <si>
    <t xml:space="preserve">chrome.storage.local.get(null, console.log)  ·  sfOAuthUser  ·  sfRemoteTemplates / sfTemplatesSyncedAt  ·  usageLogError</t>
  </si>
  <si>
    <t xml:space="preserve">Force a sync</t>
  </si>
  <si>
    <t xml:space="preserve">chrome.runtime.sendMessage({action:'sfTemplates.sync', forceRefresh:true}, console.log)</t>
  </si>
  <si>
    <t xml:space="preserve">Check multi-team / limits</t>
  </si>
  <si>
    <t xml:space="preserve">chrome.runtime.sendMessage({action:'sfTemplates.listAll'}, r=&gt;console.log(r.fields)) → fields.teamsMulti, fields.contentMaxLength</t>
  </si>
  <si>
    <t xml:space="preserve">Insertion path</t>
  </si>
  <si>
    <t xml:space="preserve">[Cyfor:insert] method = paste (good) vs insertHTML/innerHTML (fallback) — if rich content is lost, capture this.</t>
  </si>
  <si>
    <t xml:space="preserve">Right-click native menu</t>
  </si>
  <si>
    <t xml:space="preserve">Set browser zoom to 100% (zoom shifts elementFromPoint).</t>
  </si>
  <si>
    <t xml:space="preserve">Full cheat-sheet</t>
  </si>
  <si>
    <t xml:space="preserve">docs/Nucleus_Enhancer_Diagnostics.md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</si>
</sst>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A4A"/>
      <name val="Arial"/>
      <family val="2"/>
    </font>
    <font>
      <sz val="9"/>
      <name val="Arial"/>
      <family val="2"/>
    </font>
    <font>
      <b val="true"/>
      <sz val="11"/>
      <color rgb="FF1F5FA8"/>
      <name val="Arial"/>
      <family val="2"/>
    </font>
    <font>
      <b val="true"/>
      <sz val="9"/>
      <color rgb="FF1B6B33"/>
      <name val="Arial"/>
      <family val="2"/>
    </font>
    <font>
      <b val="true"/>
      <sz val="9"/>
      <color rgb="FF9C1414"/>
      <name val="Arial"/>
      <family val="2"/>
    </font>
    <font>
      <b val="true"/>
      <sz val="9"/>
      <color rgb="FF7A5C00"/>
      <name val="Arial"/>
      <family val="2"/>
    </font>
    <font>
      <b val="true"/>
      <sz val="9.5"/>
      <name val="Arial"/>
      <family val="2"/>
    </font>
    <font>
      <b val="true"/>
      <sz val="13"/>
      <color rgb="FFFFFFFF"/>
      <name val="Arial"/>
      <family val="2"/>
    </font>
    <font>
      <b val="true"/>
      <sz val="9.5"/>
      <color rgb="FFFFFFFF"/>
      <name val="Arial"/>
      <family val="2"/>
    </font>
    <font>
      <b val="true"/>
      <sz val="9.5"/>
      <color rgb="FF0B2A4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CE7F3"/>
      </patternFill>
    </fill>
    <fill>
      <patternFill patternType="solid">
        <fgColor rgb="FFFFC7CE"/>
        <bgColor rgb="FFE2E6EA"/>
      </patternFill>
    </fill>
    <fill>
      <patternFill patternType="solid">
        <fgColor rgb="FFFFEB9C"/>
        <bgColor rgb="FFFFFFCC"/>
      </patternFill>
    </fill>
    <fill>
      <patternFill patternType="solid">
        <fgColor rgb="FFE2E6EA"/>
        <bgColor rgb="FFDCE7F3"/>
      </patternFill>
    </fill>
    <fill>
      <patternFill patternType="solid">
        <fgColor rgb="FFE8EEF6"/>
        <bgColor rgb="FFE2E6EA"/>
      </patternFill>
    </fill>
    <fill>
      <patternFill patternType="solid">
        <fgColor rgb="FF0B2A4A"/>
        <bgColor rgb="FF333333"/>
      </patternFill>
    </fill>
    <fill>
      <patternFill patternType="solid">
        <fgColor rgb="FF1F5FA8"/>
        <bgColor rgb="FF3366FF"/>
      </patternFill>
    </fill>
    <fill>
      <patternFill patternType="solid">
        <fgColor rgb="FFDCE7F3"/>
        <bgColor rgb="FFE2E6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8C2CC"/>
      </left>
      <right style="hair">
        <color rgb="FFB8C2CC"/>
      </right>
      <top style="hair">
        <color rgb="FFB8C2CC"/>
      </top>
      <bottom style="hair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1414"/>
      <rgbColor rgb="FF1B6B33"/>
      <rgbColor rgb="FF000080"/>
      <rgbColor rgb="FF7A5C00"/>
      <rgbColor rgb="FF800080"/>
      <rgbColor rgb="FF008080"/>
      <rgbColor rgb="FFB8C2CC"/>
      <rgbColor rgb="FF808080"/>
      <rgbColor rgb="FF9999FF"/>
      <rgbColor rgb="FF993366"/>
      <rgbColor rgb="FFFFFFCC"/>
      <rgbColor rgb="FFE8EEF6"/>
      <rgbColor rgb="FF660066"/>
      <rgbColor rgb="FFFF8080"/>
      <rgbColor rgb="FF1F5FA8"/>
      <rgbColor rgb="FFE2E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81.72"/>
  </cols>
  <sheetData>
    <row r="1" customFormat="false" ht="17.35" hidden="false" customHeight="false" outlineLevel="0" collapsed="false">
      <c r="A1" s="1" t="s">
        <v>0</v>
      </c>
      <c r="B1" s="1"/>
    </row>
    <row r="2" customFormat="false" ht="56.7" hidden="false" customHeight="true" outlineLevel="0" collapsed="false">
      <c r="A2" s="2" t="s">
        <v>1</v>
      </c>
      <c r="B2" s="2"/>
    </row>
    <row r="3" customFormat="false" ht="13.8" hidden="false" customHeight="false" outlineLevel="0" collapsed="false">
      <c r="A3" s="3" t="s">
        <v>2</v>
      </c>
      <c r="B3" s="3"/>
    </row>
    <row r="4" customFormat="false" ht="14.9" hidden="false" customHeight="false" outlineLevel="0" collapsed="false">
      <c r="A4" s="4" t="s">
        <v>3</v>
      </c>
      <c r="B4" s="2" t="s">
        <v>4</v>
      </c>
    </row>
    <row r="5" customFormat="false" ht="14.9" hidden="false" customHeight="false" outlineLevel="0" collapsed="false">
      <c r="A5" s="5" t="s">
        <v>5</v>
      </c>
      <c r="B5" s="2" t="s">
        <v>6</v>
      </c>
    </row>
    <row r="6" customFormat="false" ht="14.9" hidden="false" customHeight="false" outlineLevel="0" collapsed="false">
      <c r="A6" s="6" t="s">
        <v>7</v>
      </c>
      <c r="B6" s="2" t="s">
        <v>8</v>
      </c>
    </row>
    <row r="7" customFormat="false" ht="14.9" hidden="false" customHeight="false" outlineLevel="0" collapsed="false">
      <c r="A7" s="7" t="s">
        <v>9</v>
      </c>
      <c r="B7" s="2" t="s">
        <v>10</v>
      </c>
    </row>
    <row r="8" customFormat="false" ht="14.9" hidden="false" customHeight="false" outlineLevel="0" collapsed="false">
      <c r="A8" s="2" t="s">
        <v>11</v>
      </c>
      <c r="B8" s="2" t="s">
        <v>12</v>
      </c>
    </row>
    <row r="9" customFormat="false" ht="13.8" hidden="false" customHeight="false" outlineLevel="0" collapsed="false">
      <c r="A9" s="3" t="s">
        <v>13</v>
      </c>
      <c r="B9" s="3"/>
    </row>
    <row r="10" customFormat="false" ht="14.9" hidden="false" customHeight="false" outlineLevel="0" collapsed="false">
      <c r="A10" s="8" t="s">
        <v>14</v>
      </c>
      <c r="B10" s="2" t="s">
        <v>15</v>
      </c>
    </row>
    <row r="11" customFormat="false" ht="14.9" hidden="false" customHeight="false" outlineLevel="0" collapsed="false">
      <c r="A11" s="8" t="s">
        <v>16</v>
      </c>
      <c r="B11" s="2" t="s">
        <v>17</v>
      </c>
    </row>
    <row r="12" customFormat="false" ht="14.9" hidden="false" customHeight="false" outlineLevel="0" collapsed="false">
      <c r="A12" s="8" t="s">
        <v>18</v>
      </c>
      <c r="B12" s="2" t="s">
        <v>19</v>
      </c>
    </row>
    <row r="13" customFormat="false" ht="14.9" hidden="false" customHeight="false" outlineLevel="0" collapsed="false">
      <c r="A13" s="8" t="s">
        <v>20</v>
      </c>
      <c r="B13" s="2" t="s">
        <v>21</v>
      </c>
    </row>
    <row r="14" customFormat="false" ht="14.9" hidden="false" customHeight="false" outlineLevel="0" collapsed="false">
      <c r="A14" s="8" t="s">
        <v>22</v>
      </c>
      <c r="B14" s="2" t="s">
        <v>23</v>
      </c>
    </row>
    <row r="15" customFormat="false" ht="14.9" hidden="false" customHeight="false" outlineLevel="0" collapsed="false">
      <c r="A15" s="8" t="s">
        <v>24</v>
      </c>
      <c r="B15" s="2" t="s">
        <v>19</v>
      </c>
    </row>
    <row r="16" customFormat="false" ht="14.9" hidden="false" customHeight="false" outlineLevel="0" collapsed="false">
      <c r="A16" s="8" t="s">
        <v>25</v>
      </c>
      <c r="B16" s="2" t="s">
        <v>19</v>
      </c>
    </row>
  </sheetData>
  <mergeCells count="4">
    <mergeCell ref="A1:B1"/>
    <mergeCell ref="A2:B2"/>
    <mergeCell ref="A3:B3"/>
    <mergeCell ref="A9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6"/>
    <col collapsed="false" customWidth="true" hidden="false" outlineLevel="0" max="2" min="2" style="0" width="13.28"/>
    <col collapsed="false" customWidth="true" hidden="false" outlineLevel="0" max="3" min="3" style="0" width="17.37"/>
    <col collapsed="false" customWidth="true" hidden="false" outlineLevel="0" max="4" min="4" style="0" width="8.17"/>
    <col collapsed="false" customWidth="true" hidden="false" outlineLevel="0" max="5" min="5" style="0" width="22.98"/>
    <col collapsed="false" customWidth="true" hidden="false" outlineLevel="0" max="7" min="6" style="0" width="33.2"/>
    <col collapsed="false" customWidth="true" hidden="false" outlineLevel="0" max="8" min="8" style="0" width="11.24"/>
    <col collapsed="false" customWidth="true" hidden="false" outlineLevel="0" max="9" min="9" style="0" width="25.54"/>
    <col collapsed="false" customWidth="true" hidden="false" outlineLevel="0" max="10" min="10" style="0" width="11.24"/>
    <col collapsed="false" customWidth="true" hidden="false" outlineLevel="0" max="11" min="11" style="0" width="12.26"/>
  </cols>
  <sheetData>
    <row r="1" customFormat="false" ht="22.65" hidden="false" customHeight="fals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.75" hidden="false" customHeight="false" outlineLevel="0" collapsed="false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24</v>
      </c>
      <c r="K2" s="10" t="s">
        <v>25</v>
      </c>
    </row>
    <row r="3" customFormat="false" ht="14.55" hidden="false" customHeight="false" outlineLevel="0" collapsed="false">
      <c r="A3" s="11" t="s">
        <v>36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25.35" hidden="false" customHeight="false" outlineLevel="0" collapsed="false">
      <c r="A4" s="2" t="s">
        <v>37</v>
      </c>
      <c r="B4" s="2" t="s">
        <v>36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12" t="s">
        <v>43</v>
      </c>
      <c r="I4" s="2" t="s">
        <v>43</v>
      </c>
      <c r="J4" s="2" t="s">
        <v>43</v>
      </c>
      <c r="K4" s="2" t="s">
        <v>43</v>
      </c>
    </row>
    <row r="5" customFormat="false" ht="35.8" hidden="false" customHeight="false" outlineLevel="0" collapsed="false">
      <c r="A5" s="2" t="s">
        <v>44</v>
      </c>
      <c r="B5" s="2" t="s">
        <v>36</v>
      </c>
      <c r="C5" s="2" t="s">
        <v>45</v>
      </c>
      <c r="D5" s="2" t="s">
        <v>39</v>
      </c>
      <c r="E5" s="2" t="s">
        <v>46</v>
      </c>
      <c r="F5" s="2" t="s">
        <v>47</v>
      </c>
      <c r="G5" s="2" t="s">
        <v>48</v>
      </c>
      <c r="H5" s="12" t="s">
        <v>43</v>
      </c>
      <c r="I5" s="2" t="s">
        <v>43</v>
      </c>
      <c r="J5" s="2" t="s">
        <v>43</v>
      </c>
      <c r="K5" s="2" t="s">
        <v>43</v>
      </c>
    </row>
    <row r="6" customFormat="false" ht="25.35" hidden="false" customHeight="false" outlineLevel="0" collapsed="false">
      <c r="A6" s="2" t="s">
        <v>49</v>
      </c>
      <c r="B6" s="2" t="s">
        <v>36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12" t="s">
        <v>43</v>
      </c>
      <c r="I6" s="2" t="s">
        <v>43</v>
      </c>
      <c r="J6" s="2" t="s">
        <v>43</v>
      </c>
      <c r="K6" s="2" t="s">
        <v>43</v>
      </c>
    </row>
    <row r="7" customFormat="false" ht="46.25" hidden="false" customHeight="false" outlineLevel="0" collapsed="false">
      <c r="A7" s="2" t="s">
        <v>55</v>
      </c>
      <c r="B7" s="2" t="s">
        <v>36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12" t="s">
        <v>43</v>
      </c>
      <c r="I7" s="2" t="s">
        <v>43</v>
      </c>
      <c r="J7" s="2" t="s">
        <v>43</v>
      </c>
      <c r="K7" s="2" t="s">
        <v>43</v>
      </c>
    </row>
    <row r="8" customFormat="false" ht="14.55" hidden="false" customHeight="false" outlineLevel="0" collapsed="false">
      <c r="A8" s="11" t="s">
        <v>61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customFormat="false" ht="35.8" hidden="false" customHeight="false" outlineLevel="0" collapsed="false">
      <c r="A9" s="2" t="s">
        <v>62</v>
      </c>
      <c r="B9" s="2" t="s">
        <v>61</v>
      </c>
      <c r="C9" s="2" t="s">
        <v>63</v>
      </c>
      <c r="D9" s="2" t="s">
        <v>39</v>
      </c>
      <c r="E9" s="2" t="s">
        <v>64</v>
      </c>
      <c r="F9" s="2" t="s">
        <v>65</v>
      </c>
      <c r="G9" s="2" t="s">
        <v>66</v>
      </c>
      <c r="H9" s="12" t="s">
        <v>43</v>
      </c>
      <c r="I9" s="2" t="s">
        <v>43</v>
      </c>
      <c r="J9" s="2" t="s">
        <v>43</v>
      </c>
      <c r="K9" s="2" t="s">
        <v>43</v>
      </c>
    </row>
    <row r="10" customFormat="false" ht="25.35" hidden="false" customHeight="false" outlineLevel="0" collapsed="false">
      <c r="A10" s="2" t="s">
        <v>67</v>
      </c>
      <c r="B10" s="2" t="s">
        <v>61</v>
      </c>
      <c r="C10" s="2" t="s">
        <v>68</v>
      </c>
      <c r="D10" s="2" t="s">
        <v>39</v>
      </c>
      <c r="E10" s="2" t="s">
        <v>69</v>
      </c>
      <c r="F10" s="2" t="s">
        <v>70</v>
      </c>
      <c r="G10" s="2" t="s">
        <v>71</v>
      </c>
      <c r="H10" s="12" t="s">
        <v>43</v>
      </c>
      <c r="I10" s="2" t="s">
        <v>43</v>
      </c>
      <c r="J10" s="2" t="s">
        <v>43</v>
      </c>
      <c r="K10" s="2" t="s">
        <v>43</v>
      </c>
    </row>
    <row r="11" customFormat="false" ht="25.35" hidden="false" customHeight="false" outlineLevel="0" collapsed="false">
      <c r="A11" s="2" t="s">
        <v>72</v>
      </c>
      <c r="B11" s="2" t="s">
        <v>61</v>
      </c>
      <c r="C11" s="2" t="s">
        <v>73</v>
      </c>
      <c r="D11" s="2" t="s">
        <v>39</v>
      </c>
      <c r="E11" s="2" t="s">
        <v>74</v>
      </c>
      <c r="F11" s="2" t="s">
        <v>75</v>
      </c>
      <c r="G11" s="2" t="s">
        <v>76</v>
      </c>
      <c r="H11" s="12" t="s">
        <v>43</v>
      </c>
      <c r="I11" s="2" t="s">
        <v>43</v>
      </c>
      <c r="J11" s="2" t="s">
        <v>43</v>
      </c>
      <c r="K11" s="2" t="s">
        <v>43</v>
      </c>
    </row>
    <row r="12" customFormat="false" ht="25.35" hidden="false" customHeight="false" outlineLevel="0" collapsed="false">
      <c r="A12" s="2" t="s">
        <v>77</v>
      </c>
      <c r="B12" s="2" t="s">
        <v>61</v>
      </c>
      <c r="C12" s="2" t="s">
        <v>78</v>
      </c>
      <c r="D12" s="2" t="s">
        <v>51</v>
      </c>
      <c r="E12" s="2" t="s">
        <v>74</v>
      </c>
      <c r="F12" s="2" t="s">
        <v>79</v>
      </c>
      <c r="G12" s="2" t="s">
        <v>80</v>
      </c>
      <c r="H12" s="12" t="s">
        <v>43</v>
      </c>
      <c r="I12" s="2" t="s">
        <v>43</v>
      </c>
      <c r="J12" s="2" t="s">
        <v>43</v>
      </c>
      <c r="K12" s="2" t="s">
        <v>43</v>
      </c>
    </row>
    <row r="13" customFormat="false" ht="25.35" hidden="false" customHeight="false" outlineLevel="0" collapsed="false">
      <c r="A13" s="2" t="s">
        <v>81</v>
      </c>
      <c r="B13" s="2" t="s">
        <v>61</v>
      </c>
      <c r="C13" s="2" t="s">
        <v>82</v>
      </c>
      <c r="D13" s="2" t="s">
        <v>51</v>
      </c>
      <c r="E13" s="2" t="s">
        <v>83</v>
      </c>
      <c r="F13" s="2" t="s">
        <v>84</v>
      </c>
      <c r="G13" s="2" t="s">
        <v>85</v>
      </c>
      <c r="H13" s="12" t="s">
        <v>43</v>
      </c>
      <c r="I13" s="2" t="s">
        <v>43</v>
      </c>
      <c r="J13" s="2" t="s">
        <v>43</v>
      </c>
      <c r="K13" s="2" t="s">
        <v>43</v>
      </c>
    </row>
    <row r="14" customFormat="false" ht="14.55" hidden="false" customHeight="false" outlineLevel="0" collapsed="false">
      <c r="A14" s="11" t="s">
        <v>86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25.35" hidden="false" customHeight="false" outlineLevel="0" collapsed="false">
      <c r="A15" s="2" t="s">
        <v>87</v>
      </c>
      <c r="B15" s="2" t="s">
        <v>86</v>
      </c>
      <c r="C15" s="2" t="s">
        <v>88</v>
      </c>
      <c r="D15" s="2" t="s">
        <v>51</v>
      </c>
      <c r="E15" s="2" t="s">
        <v>89</v>
      </c>
      <c r="F15" s="2" t="s">
        <v>90</v>
      </c>
      <c r="G15" s="2" t="s">
        <v>91</v>
      </c>
      <c r="H15" s="12" t="s">
        <v>43</v>
      </c>
      <c r="I15" s="2" t="s">
        <v>43</v>
      </c>
      <c r="J15" s="2" t="s">
        <v>43</v>
      </c>
      <c r="K15" s="2" t="s">
        <v>43</v>
      </c>
    </row>
    <row r="16" customFormat="false" ht="35.8" hidden="false" customHeight="false" outlineLevel="0" collapsed="false">
      <c r="A16" s="2" t="s">
        <v>92</v>
      </c>
      <c r="B16" s="2" t="s">
        <v>86</v>
      </c>
      <c r="C16" s="2" t="s">
        <v>93</v>
      </c>
      <c r="D16" s="2" t="s">
        <v>39</v>
      </c>
      <c r="E16" s="2" t="s">
        <v>94</v>
      </c>
      <c r="F16" s="2" t="s">
        <v>95</v>
      </c>
      <c r="G16" s="2" t="s">
        <v>96</v>
      </c>
      <c r="H16" s="12" t="s">
        <v>43</v>
      </c>
      <c r="I16" s="2" t="s">
        <v>43</v>
      </c>
      <c r="J16" s="2" t="s">
        <v>43</v>
      </c>
      <c r="K16" s="2" t="s">
        <v>43</v>
      </c>
    </row>
    <row r="17" customFormat="false" ht="35.8" hidden="false" customHeight="false" outlineLevel="0" collapsed="false">
      <c r="A17" s="2" t="s">
        <v>97</v>
      </c>
      <c r="B17" s="2" t="s">
        <v>86</v>
      </c>
      <c r="C17" s="2" t="s">
        <v>98</v>
      </c>
      <c r="D17" s="2" t="s">
        <v>51</v>
      </c>
      <c r="E17" s="2" t="s">
        <v>99</v>
      </c>
      <c r="F17" s="2" t="s">
        <v>100</v>
      </c>
      <c r="G17" s="2" t="s">
        <v>101</v>
      </c>
      <c r="H17" s="12" t="s">
        <v>43</v>
      </c>
      <c r="I17" s="2" t="s">
        <v>43</v>
      </c>
      <c r="J17" s="2" t="s">
        <v>43</v>
      </c>
      <c r="K17" s="2" t="s">
        <v>43</v>
      </c>
    </row>
    <row r="18" customFormat="false" ht="25.35" hidden="false" customHeight="false" outlineLevel="0" collapsed="false">
      <c r="A18" s="2" t="s">
        <v>102</v>
      </c>
      <c r="B18" s="2" t="s">
        <v>86</v>
      </c>
      <c r="C18" s="2" t="s">
        <v>103</v>
      </c>
      <c r="D18" s="2" t="s">
        <v>51</v>
      </c>
      <c r="E18" s="2" t="s">
        <v>104</v>
      </c>
      <c r="F18" s="2" t="s">
        <v>105</v>
      </c>
      <c r="G18" s="2" t="s">
        <v>106</v>
      </c>
      <c r="H18" s="12" t="s">
        <v>43</v>
      </c>
      <c r="I18" s="2" t="s">
        <v>43</v>
      </c>
      <c r="J18" s="2" t="s">
        <v>43</v>
      </c>
      <c r="K18" s="2" t="s">
        <v>43</v>
      </c>
    </row>
    <row r="19" customFormat="false" ht="25.35" hidden="false" customHeight="false" outlineLevel="0" collapsed="false">
      <c r="A19" s="2" t="s">
        <v>107</v>
      </c>
      <c r="B19" s="2" t="s">
        <v>86</v>
      </c>
      <c r="C19" s="2" t="s">
        <v>108</v>
      </c>
      <c r="D19" s="2" t="s">
        <v>57</v>
      </c>
      <c r="E19" s="2" t="s">
        <v>104</v>
      </c>
      <c r="F19" s="2" t="s">
        <v>109</v>
      </c>
      <c r="G19" s="2" t="s">
        <v>110</v>
      </c>
      <c r="H19" s="12" t="s">
        <v>43</v>
      </c>
      <c r="I19" s="2" t="s">
        <v>43</v>
      </c>
      <c r="J19" s="2" t="s">
        <v>43</v>
      </c>
      <c r="K19" s="2" t="s">
        <v>43</v>
      </c>
    </row>
    <row r="20" customFormat="false" ht="35.8" hidden="false" customHeight="false" outlineLevel="0" collapsed="false">
      <c r="A20" s="2" t="s">
        <v>111</v>
      </c>
      <c r="B20" s="2" t="s">
        <v>86</v>
      </c>
      <c r="C20" s="2" t="s">
        <v>112</v>
      </c>
      <c r="D20" s="2" t="s">
        <v>51</v>
      </c>
      <c r="E20" s="2" t="s">
        <v>113</v>
      </c>
      <c r="F20" s="2" t="s">
        <v>114</v>
      </c>
      <c r="G20" s="2" t="s">
        <v>115</v>
      </c>
      <c r="H20" s="12" t="s">
        <v>43</v>
      </c>
      <c r="I20" s="2" t="s">
        <v>43</v>
      </c>
      <c r="J20" s="2" t="s">
        <v>43</v>
      </c>
      <c r="K20" s="2" t="s">
        <v>43</v>
      </c>
    </row>
    <row r="21" customFormat="false" ht="14.55" hidden="false" customHeight="false" outlineLevel="0" collapsed="false">
      <c r="A21" s="11" t="s">
        <v>116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25.35" hidden="false" customHeight="false" outlineLevel="0" collapsed="false">
      <c r="A22" s="2" t="s">
        <v>117</v>
      </c>
      <c r="B22" s="2" t="s">
        <v>116</v>
      </c>
      <c r="C22" s="2" t="s">
        <v>118</v>
      </c>
      <c r="D22" s="2" t="s">
        <v>51</v>
      </c>
      <c r="E22" s="2" t="s">
        <v>119</v>
      </c>
      <c r="F22" s="2" t="s">
        <v>120</v>
      </c>
      <c r="G22" s="2" t="s">
        <v>121</v>
      </c>
      <c r="H22" s="12" t="s">
        <v>43</v>
      </c>
      <c r="I22" s="2" t="s">
        <v>43</v>
      </c>
      <c r="J22" s="2" t="s">
        <v>43</v>
      </c>
      <c r="K22" s="2" t="s">
        <v>43</v>
      </c>
    </row>
    <row r="23" customFormat="false" ht="25.35" hidden="false" customHeight="false" outlineLevel="0" collapsed="false">
      <c r="A23" s="2" t="s">
        <v>122</v>
      </c>
      <c r="B23" s="2" t="s">
        <v>116</v>
      </c>
      <c r="C23" s="2" t="s">
        <v>123</v>
      </c>
      <c r="D23" s="2" t="s">
        <v>51</v>
      </c>
      <c r="E23" s="2" t="s">
        <v>119</v>
      </c>
      <c r="F23" s="2" t="s">
        <v>124</v>
      </c>
      <c r="G23" s="2" t="s">
        <v>125</v>
      </c>
      <c r="H23" s="12" t="s">
        <v>43</v>
      </c>
      <c r="I23" s="2" t="s">
        <v>43</v>
      </c>
      <c r="J23" s="2" t="s">
        <v>43</v>
      </c>
      <c r="K23" s="2" t="s">
        <v>43</v>
      </c>
    </row>
    <row r="24" customFormat="false" ht="25.35" hidden="false" customHeight="false" outlineLevel="0" collapsed="false">
      <c r="A24" s="2" t="s">
        <v>126</v>
      </c>
      <c r="B24" s="2" t="s">
        <v>116</v>
      </c>
      <c r="C24" s="2" t="s">
        <v>127</v>
      </c>
      <c r="D24" s="2" t="s">
        <v>57</v>
      </c>
      <c r="E24" s="2" t="s">
        <v>128</v>
      </c>
      <c r="F24" s="2" t="s">
        <v>129</v>
      </c>
      <c r="G24" s="2" t="s">
        <v>130</v>
      </c>
      <c r="H24" s="12" t="s">
        <v>43</v>
      </c>
      <c r="I24" s="2" t="s">
        <v>43</v>
      </c>
      <c r="J24" s="2" t="s">
        <v>43</v>
      </c>
      <c r="K24" s="2" t="s">
        <v>43</v>
      </c>
    </row>
    <row r="25" customFormat="false" ht="14.9" hidden="false" customHeight="false" outlineLevel="0" collapsed="false">
      <c r="A25" s="2" t="s">
        <v>131</v>
      </c>
      <c r="B25" s="2" t="s">
        <v>116</v>
      </c>
      <c r="C25" s="2" t="s">
        <v>132</v>
      </c>
      <c r="D25" s="2" t="s">
        <v>57</v>
      </c>
      <c r="E25" s="2" t="s">
        <v>133</v>
      </c>
      <c r="F25" s="2" t="s">
        <v>129</v>
      </c>
      <c r="G25" s="2" t="s">
        <v>134</v>
      </c>
      <c r="H25" s="12" t="s">
        <v>43</v>
      </c>
      <c r="I25" s="2" t="s">
        <v>43</v>
      </c>
      <c r="J25" s="2" t="s">
        <v>43</v>
      </c>
      <c r="K25" s="2" t="s">
        <v>43</v>
      </c>
    </row>
    <row r="26" customFormat="false" ht="25.35" hidden="false" customHeight="false" outlineLevel="0" collapsed="false">
      <c r="A26" s="2" t="s">
        <v>135</v>
      </c>
      <c r="B26" s="2" t="s">
        <v>116</v>
      </c>
      <c r="C26" s="2" t="s">
        <v>136</v>
      </c>
      <c r="D26" s="2" t="s">
        <v>57</v>
      </c>
      <c r="E26" s="2" t="s">
        <v>137</v>
      </c>
      <c r="F26" s="2" t="s">
        <v>138</v>
      </c>
      <c r="G26" s="2" t="s">
        <v>139</v>
      </c>
      <c r="H26" s="12" t="s">
        <v>43</v>
      </c>
      <c r="I26" s="2" t="s">
        <v>43</v>
      </c>
      <c r="J26" s="2" t="s">
        <v>43</v>
      </c>
      <c r="K26" s="2" t="s">
        <v>43</v>
      </c>
    </row>
    <row r="27" customFormat="false" ht="14.55" hidden="false" customHeight="false" outlineLevel="0" collapsed="false">
      <c r="A27" s="11" t="s">
        <v>140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25.35" hidden="false" customHeight="false" outlineLevel="0" collapsed="false">
      <c r="A28" s="2" t="s">
        <v>141</v>
      </c>
      <c r="B28" s="2" t="s">
        <v>140</v>
      </c>
      <c r="C28" s="2" t="s">
        <v>142</v>
      </c>
      <c r="D28" s="2" t="s">
        <v>57</v>
      </c>
      <c r="E28" s="2" t="s">
        <v>143</v>
      </c>
      <c r="F28" s="2" t="s">
        <v>144</v>
      </c>
      <c r="G28" s="2" t="s">
        <v>145</v>
      </c>
      <c r="H28" s="12" t="s">
        <v>43</v>
      </c>
      <c r="I28" s="2" t="s">
        <v>43</v>
      </c>
      <c r="J28" s="2" t="s">
        <v>43</v>
      </c>
      <c r="K28" s="2" t="s">
        <v>43</v>
      </c>
    </row>
    <row r="29" customFormat="false" ht="35.8" hidden="false" customHeight="false" outlineLevel="0" collapsed="false">
      <c r="A29" s="2" t="s">
        <v>146</v>
      </c>
      <c r="B29" s="2" t="s">
        <v>140</v>
      </c>
      <c r="C29" s="2" t="s">
        <v>147</v>
      </c>
      <c r="D29" s="2" t="s">
        <v>51</v>
      </c>
      <c r="E29" s="2" t="s">
        <v>148</v>
      </c>
      <c r="F29" s="2" t="s">
        <v>149</v>
      </c>
      <c r="G29" s="2" t="s">
        <v>150</v>
      </c>
      <c r="H29" s="12" t="s">
        <v>43</v>
      </c>
      <c r="I29" s="2" t="s">
        <v>43</v>
      </c>
      <c r="J29" s="2" t="s">
        <v>43</v>
      </c>
      <c r="K29" s="2" t="s">
        <v>43</v>
      </c>
    </row>
    <row r="30" customFormat="false" ht="35.8" hidden="false" customHeight="false" outlineLevel="0" collapsed="false">
      <c r="A30" s="2" t="s">
        <v>151</v>
      </c>
      <c r="B30" s="2" t="s">
        <v>140</v>
      </c>
      <c r="C30" s="2" t="s">
        <v>152</v>
      </c>
      <c r="D30" s="2" t="s">
        <v>57</v>
      </c>
      <c r="E30" s="2" t="s">
        <v>153</v>
      </c>
      <c r="F30" s="2" t="s">
        <v>154</v>
      </c>
      <c r="G30" s="2" t="s">
        <v>155</v>
      </c>
      <c r="H30" s="12" t="s">
        <v>43</v>
      </c>
      <c r="I30" s="2" t="s">
        <v>43</v>
      </c>
      <c r="J30" s="2" t="s">
        <v>43</v>
      </c>
      <c r="K30" s="2" t="s">
        <v>43</v>
      </c>
    </row>
    <row r="31" customFormat="false" ht="14.55" hidden="false" customHeight="false" outlineLevel="0" collapsed="false">
      <c r="A31" s="11" t="s">
        <v>156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customFormat="false" ht="25.35" hidden="false" customHeight="false" outlineLevel="0" collapsed="false">
      <c r="A32" s="2" t="s">
        <v>157</v>
      </c>
      <c r="B32" s="2" t="s">
        <v>156</v>
      </c>
      <c r="C32" s="2" t="s">
        <v>158</v>
      </c>
      <c r="D32" s="2" t="s">
        <v>57</v>
      </c>
      <c r="E32" s="2" t="s">
        <v>159</v>
      </c>
      <c r="F32" s="2" t="s">
        <v>160</v>
      </c>
      <c r="G32" s="2" t="s">
        <v>161</v>
      </c>
      <c r="H32" s="12" t="s">
        <v>43</v>
      </c>
      <c r="I32" s="2" t="s">
        <v>43</v>
      </c>
      <c r="J32" s="2" t="s">
        <v>43</v>
      </c>
      <c r="K32" s="2" t="s">
        <v>43</v>
      </c>
    </row>
    <row r="33" customFormat="false" ht="14.55" hidden="false" customHeight="false" outlineLevel="0" collapsed="false">
      <c r="A33" s="11" t="s">
        <v>162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customFormat="false" ht="25.35" hidden="false" customHeight="false" outlineLevel="0" collapsed="false">
      <c r="A34" s="2" t="s">
        <v>163</v>
      </c>
      <c r="B34" s="2" t="s">
        <v>162</v>
      </c>
      <c r="C34" s="2" t="s">
        <v>164</v>
      </c>
      <c r="D34" s="2" t="s">
        <v>57</v>
      </c>
      <c r="E34" s="2" t="s">
        <v>165</v>
      </c>
      <c r="F34" s="2" t="s">
        <v>166</v>
      </c>
      <c r="G34" s="2" t="s">
        <v>167</v>
      </c>
      <c r="H34" s="12" t="s">
        <v>43</v>
      </c>
      <c r="I34" s="2" t="s">
        <v>43</v>
      </c>
      <c r="J34" s="2" t="s">
        <v>43</v>
      </c>
      <c r="K34" s="2" t="s">
        <v>43</v>
      </c>
    </row>
    <row r="35" customFormat="false" ht="14.9" hidden="false" customHeight="false" outlineLevel="0" collapsed="false">
      <c r="A35" s="2" t="s">
        <v>168</v>
      </c>
      <c r="B35" s="2" t="s">
        <v>162</v>
      </c>
      <c r="C35" s="2" t="s">
        <v>169</v>
      </c>
      <c r="D35" s="2" t="s">
        <v>57</v>
      </c>
      <c r="E35" s="2" t="s">
        <v>170</v>
      </c>
      <c r="F35" s="2" t="s">
        <v>171</v>
      </c>
      <c r="G35" s="2" t="s">
        <v>172</v>
      </c>
      <c r="H35" s="12" t="s">
        <v>43</v>
      </c>
      <c r="I35" s="2" t="s">
        <v>43</v>
      </c>
      <c r="J35" s="2" t="s">
        <v>43</v>
      </c>
      <c r="K35" s="2" t="s">
        <v>43</v>
      </c>
    </row>
    <row r="36" customFormat="false" ht="14.55" hidden="false" customHeight="false" outlineLevel="0" collapsed="false">
      <c r="A36" s="11" t="s">
        <v>173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25.35" hidden="false" customHeight="false" outlineLevel="0" collapsed="false">
      <c r="A37" s="2" t="s">
        <v>174</v>
      </c>
      <c r="B37" s="2" t="s">
        <v>173</v>
      </c>
      <c r="C37" s="2" t="s">
        <v>175</v>
      </c>
      <c r="D37" s="2" t="s">
        <v>51</v>
      </c>
      <c r="E37" s="2" t="s">
        <v>119</v>
      </c>
      <c r="F37" s="2" t="s">
        <v>176</v>
      </c>
      <c r="G37" s="2" t="s">
        <v>177</v>
      </c>
      <c r="H37" s="12" t="s">
        <v>43</v>
      </c>
      <c r="I37" s="2" t="s">
        <v>43</v>
      </c>
      <c r="J37" s="2" t="s">
        <v>43</v>
      </c>
      <c r="K37" s="2" t="s">
        <v>43</v>
      </c>
    </row>
    <row r="38" customFormat="false" ht="25.35" hidden="false" customHeight="false" outlineLevel="0" collapsed="false">
      <c r="A38" s="2" t="s">
        <v>178</v>
      </c>
      <c r="B38" s="2" t="s">
        <v>173</v>
      </c>
      <c r="C38" s="2" t="s">
        <v>179</v>
      </c>
      <c r="D38" s="2" t="s">
        <v>39</v>
      </c>
      <c r="E38" s="2" t="s">
        <v>180</v>
      </c>
      <c r="F38" s="2" t="s">
        <v>181</v>
      </c>
      <c r="G38" s="2" t="s">
        <v>182</v>
      </c>
      <c r="H38" s="12" t="s">
        <v>43</v>
      </c>
      <c r="I38" s="2" t="s">
        <v>43</v>
      </c>
      <c r="J38" s="2" t="s">
        <v>43</v>
      </c>
      <c r="K38" s="2" t="s">
        <v>43</v>
      </c>
    </row>
    <row r="39" customFormat="false" ht="25.35" hidden="false" customHeight="false" outlineLevel="0" collapsed="false">
      <c r="A39" s="2" t="s">
        <v>183</v>
      </c>
      <c r="B39" s="2" t="s">
        <v>173</v>
      </c>
      <c r="C39" s="2" t="s">
        <v>184</v>
      </c>
      <c r="D39" s="2" t="s">
        <v>51</v>
      </c>
      <c r="E39" s="2" t="s">
        <v>185</v>
      </c>
      <c r="F39" s="2" t="s">
        <v>186</v>
      </c>
      <c r="G39" s="2" t="s">
        <v>187</v>
      </c>
      <c r="H39" s="12" t="s">
        <v>43</v>
      </c>
      <c r="I39" s="2" t="s">
        <v>43</v>
      </c>
      <c r="J39" s="2" t="s">
        <v>43</v>
      </c>
      <c r="K39" s="2" t="s">
        <v>43</v>
      </c>
    </row>
    <row r="40" customFormat="false" ht="14.9" hidden="false" customHeight="false" outlineLevel="0" collapsed="false">
      <c r="A40" s="2" t="s">
        <v>188</v>
      </c>
      <c r="B40" s="2" t="s">
        <v>173</v>
      </c>
      <c r="C40" s="2" t="s">
        <v>189</v>
      </c>
      <c r="D40" s="2" t="s">
        <v>57</v>
      </c>
      <c r="E40" s="2" t="s">
        <v>190</v>
      </c>
      <c r="F40" s="2" t="s">
        <v>191</v>
      </c>
      <c r="G40" s="2" t="s">
        <v>192</v>
      </c>
      <c r="H40" s="12" t="s">
        <v>43</v>
      </c>
      <c r="I40" s="2" t="s">
        <v>43</v>
      </c>
      <c r="J40" s="2" t="s">
        <v>43</v>
      </c>
      <c r="K40" s="2" t="s">
        <v>43</v>
      </c>
    </row>
    <row r="41" customFormat="false" ht="14.55" hidden="false" customHeight="false" outlineLevel="0" collapsed="false">
      <c r="A41" s="11" t="s">
        <v>193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customFormat="false" ht="25.35" hidden="false" customHeight="false" outlineLevel="0" collapsed="false">
      <c r="A42" s="2" t="s">
        <v>194</v>
      </c>
      <c r="B42" s="2" t="s">
        <v>193</v>
      </c>
      <c r="C42" s="2" t="s">
        <v>195</v>
      </c>
      <c r="D42" s="2" t="s">
        <v>57</v>
      </c>
      <c r="E42" s="2" t="s">
        <v>196</v>
      </c>
      <c r="F42" s="2" t="s">
        <v>84</v>
      </c>
      <c r="G42" s="2" t="s">
        <v>197</v>
      </c>
      <c r="H42" s="12" t="s">
        <v>43</v>
      </c>
      <c r="I42" s="2" t="s">
        <v>43</v>
      </c>
      <c r="J42" s="2" t="s">
        <v>43</v>
      </c>
      <c r="K42" s="2" t="s">
        <v>43</v>
      </c>
    </row>
    <row r="43" customFormat="false" ht="14.9" hidden="false" customHeight="false" outlineLevel="0" collapsed="false">
      <c r="A43" s="2" t="s">
        <v>198</v>
      </c>
      <c r="B43" s="2" t="s">
        <v>193</v>
      </c>
      <c r="C43" s="2" t="s">
        <v>199</v>
      </c>
      <c r="D43" s="2" t="s">
        <v>57</v>
      </c>
      <c r="E43" s="2" t="s">
        <v>200</v>
      </c>
      <c r="F43" s="2" t="s">
        <v>84</v>
      </c>
      <c r="G43" s="2" t="s">
        <v>201</v>
      </c>
      <c r="H43" s="12" t="s">
        <v>43</v>
      </c>
      <c r="I43" s="2" t="s">
        <v>43</v>
      </c>
      <c r="J43" s="2" t="s">
        <v>43</v>
      </c>
      <c r="K43" s="2" t="s">
        <v>43</v>
      </c>
    </row>
    <row r="44" customFormat="false" ht="14.9" hidden="false" customHeight="false" outlineLevel="0" collapsed="false">
      <c r="A44" s="2" t="s">
        <v>202</v>
      </c>
      <c r="B44" s="2" t="s">
        <v>193</v>
      </c>
      <c r="C44" s="2" t="s">
        <v>203</v>
      </c>
      <c r="D44" s="2" t="s">
        <v>57</v>
      </c>
      <c r="E44" s="2" t="s">
        <v>119</v>
      </c>
      <c r="F44" s="2" t="s">
        <v>204</v>
      </c>
      <c r="G44" s="2" t="s">
        <v>205</v>
      </c>
      <c r="H44" s="12" t="s">
        <v>43</v>
      </c>
      <c r="I44" s="2" t="s">
        <v>43</v>
      </c>
      <c r="J44" s="2" t="s">
        <v>43</v>
      </c>
      <c r="K44" s="2" t="s">
        <v>43</v>
      </c>
    </row>
    <row r="45" customFormat="false" ht="14.55" hidden="false" customHeight="false" outlineLevel="0" collapsed="false">
      <c r="A45" s="11" t="s">
        <v>206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customFormat="false" ht="25.35" hidden="false" customHeight="false" outlineLevel="0" collapsed="false">
      <c r="A46" s="2" t="s">
        <v>207</v>
      </c>
      <c r="B46" s="2" t="s">
        <v>206</v>
      </c>
      <c r="C46" s="2" t="s">
        <v>208</v>
      </c>
      <c r="D46" s="2" t="s">
        <v>39</v>
      </c>
      <c r="E46" s="2" t="s">
        <v>209</v>
      </c>
      <c r="F46" s="2" t="s">
        <v>210</v>
      </c>
      <c r="G46" s="2" t="s">
        <v>211</v>
      </c>
      <c r="H46" s="12" t="s">
        <v>43</v>
      </c>
      <c r="I46" s="2" t="s">
        <v>43</v>
      </c>
      <c r="J46" s="2" t="s">
        <v>43</v>
      </c>
      <c r="K46" s="2" t="s">
        <v>43</v>
      </c>
    </row>
    <row r="47" customFormat="false" ht="25.35" hidden="false" customHeight="false" outlineLevel="0" collapsed="false">
      <c r="A47" s="2" t="s">
        <v>212</v>
      </c>
      <c r="B47" s="2" t="s">
        <v>206</v>
      </c>
      <c r="C47" s="2" t="s">
        <v>213</v>
      </c>
      <c r="D47" s="2" t="s">
        <v>39</v>
      </c>
      <c r="E47" s="2" t="s">
        <v>214</v>
      </c>
      <c r="F47" s="2" t="s">
        <v>215</v>
      </c>
      <c r="G47" s="2" t="s">
        <v>216</v>
      </c>
      <c r="H47" s="12" t="s">
        <v>43</v>
      </c>
      <c r="I47" s="2" t="s">
        <v>43</v>
      </c>
      <c r="J47" s="2" t="s">
        <v>43</v>
      </c>
      <c r="K47" s="2" t="s">
        <v>43</v>
      </c>
    </row>
    <row r="48" customFormat="false" ht="25.35" hidden="false" customHeight="false" outlineLevel="0" collapsed="false">
      <c r="A48" s="2" t="s">
        <v>217</v>
      </c>
      <c r="B48" s="2" t="s">
        <v>206</v>
      </c>
      <c r="C48" s="2" t="s">
        <v>218</v>
      </c>
      <c r="D48" s="2" t="s">
        <v>51</v>
      </c>
      <c r="E48" s="2" t="s">
        <v>219</v>
      </c>
      <c r="F48" s="2" t="s">
        <v>220</v>
      </c>
      <c r="G48" s="2" t="s">
        <v>221</v>
      </c>
      <c r="H48" s="12" t="s">
        <v>43</v>
      </c>
      <c r="I48" s="2" t="s">
        <v>43</v>
      </c>
      <c r="J48" s="2" t="s">
        <v>43</v>
      </c>
      <c r="K48" s="2" t="s">
        <v>43</v>
      </c>
    </row>
    <row r="49" customFormat="false" ht="25.35" hidden="false" customHeight="false" outlineLevel="0" collapsed="false">
      <c r="A49" s="2" t="s">
        <v>222</v>
      </c>
      <c r="B49" s="2" t="s">
        <v>206</v>
      </c>
      <c r="C49" s="2" t="s">
        <v>223</v>
      </c>
      <c r="D49" s="2" t="s">
        <v>39</v>
      </c>
      <c r="E49" s="2" t="s">
        <v>224</v>
      </c>
      <c r="F49" s="2" t="s">
        <v>225</v>
      </c>
      <c r="G49" s="2" t="s">
        <v>226</v>
      </c>
      <c r="H49" s="12" t="s">
        <v>43</v>
      </c>
      <c r="I49" s="2" t="s">
        <v>43</v>
      </c>
      <c r="J49" s="2" t="s">
        <v>43</v>
      </c>
      <c r="K49" s="2" t="s">
        <v>43</v>
      </c>
    </row>
    <row r="50" customFormat="false" ht="25.35" hidden="false" customHeight="false" outlineLevel="0" collapsed="false">
      <c r="A50" s="2" t="s">
        <v>227</v>
      </c>
      <c r="B50" s="2" t="s">
        <v>206</v>
      </c>
      <c r="C50" s="2" t="s">
        <v>228</v>
      </c>
      <c r="D50" s="2" t="s">
        <v>51</v>
      </c>
      <c r="E50" s="2" t="s">
        <v>229</v>
      </c>
      <c r="F50" s="2" t="s">
        <v>206</v>
      </c>
      <c r="G50" s="2" t="s">
        <v>230</v>
      </c>
      <c r="H50" s="12" t="s">
        <v>43</v>
      </c>
      <c r="I50" s="2" t="s">
        <v>43</v>
      </c>
      <c r="J50" s="2" t="s">
        <v>43</v>
      </c>
      <c r="K50" s="2" t="s">
        <v>43</v>
      </c>
    </row>
    <row r="51" customFormat="false" ht="35.8" hidden="false" customHeight="false" outlineLevel="0" collapsed="false">
      <c r="A51" s="2" t="s">
        <v>231</v>
      </c>
      <c r="B51" s="2" t="s">
        <v>206</v>
      </c>
      <c r="C51" s="2" t="s">
        <v>232</v>
      </c>
      <c r="D51" s="2" t="s">
        <v>39</v>
      </c>
      <c r="E51" s="2" t="s">
        <v>233</v>
      </c>
      <c r="F51" s="2" t="s">
        <v>234</v>
      </c>
      <c r="G51" s="2" t="s">
        <v>235</v>
      </c>
      <c r="H51" s="12" t="s">
        <v>43</v>
      </c>
      <c r="I51" s="2" t="s">
        <v>43</v>
      </c>
      <c r="J51" s="2" t="s">
        <v>43</v>
      </c>
      <c r="K51" s="2" t="s">
        <v>43</v>
      </c>
    </row>
    <row r="52" customFormat="false" ht="25.35" hidden="false" customHeight="false" outlineLevel="0" collapsed="false">
      <c r="A52" s="2" t="s">
        <v>236</v>
      </c>
      <c r="B52" s="2" t="s">
        <v>206</v>
      </c>
      <c r="C52" s="2" t="s">
        <v>237</v>
      </c>
      <c r="D52" s="2" t="s">
        <v>51</v>
      </c>
      <c r="E52" s="2" t="s">
        <v>238</v>
      </c>
      <c r="F52" s="2" t="s">
        <v>239</v>
      </c>
      <c r="G52" s="2" t="s">
        <v>240</v>
      </c>
      <c r="H52" s="12" t="s">
        <v>43</v>
      </c>
      <c r="I52" s="2" t="s">
        <v>43</v>
      </c>
      <c r="J52" s="2" t="s">
        <v>43</v>
      </c>
      <c r="K52" s="2" t="s">
        <v>43</v>
      </c>
    </row>
    <row r="53" customFormat="false" ht="25.35" hidden="false" customHeight="false" outlineLevel="0" collapsed="false">
      <c r="A53" s="2" t="s">
        <v>241</v>
      </c>
      <c r="B53" s="2" t="s">
        <v>206</v>
      </c>
      <c r="C53" s="2" t="s">
        <v>242</v>
      </c>
      <c r="D53" s="2" t="s">
        <v>51</v>
      </c>
      <c r="E53" s="2" t="s">
        <v>243</v>
      </c>
      <c r="F53" s="2" t="s">
        <v>206</v>
      </c>
      <c r="G53" s="2" t="s">
        <v>244</v>
      </c>
      <c r="H53" s="12" t="s">
        <v>43</v>
      </c>
      <c r="I53" s="2" t="s">
        <v>43</v>
      </c>
      <c r="J53" s="2" t="s">
        <v>43</v>
      </c>
      <c r="K53" s="2" t="s">
        <v>43</v>
      </c>
    </row>
    <row r="54" customFormat="false" ht="25.35" hidden="false" customHeight="false" outlineLevel="0" collapsed="false">
      <c r="A54" s="2" t="s">
        <v>245</v>
      </c>
      <c r="B54" s="2" t="s">
        <v>206</v>
      </c>
      <c r="C54" s="2" t="s">
        <v>246</v>
      </c>
      <c r="D54" s="2" t="s">
        <v>39</v>
      </c>
      <c r="E54" s="2" t="s">
        <v>247</v>
      </c>
      <c r="F54" s="2" t="s">
        <v>248</v>
      </c>
      <c r="G54" s="2" t="s">
        <v>249</v>
      </c>
      <c r="H54" s="12" t="s">
        <v>43</v>
      </c>
      <c r="I54" s="2" t="s">
        <v>43</v>
      </c>
      <c r="J54" s="2" t="s">
        <v>43</v>
      </c>
      <c r="K54" s="2" t="s">
        <v>43</v>
      </c>
    </row>
    <row r="55" customFormat="false" ht="14.9" hidden="false" customHeight="false" outlineLevel="0" collapsed="false">
      <c r="A55" s="2" t="s">
        <v>250</v>
      </c>
      <c r="B55" s="2" t="s">
        <v>206</v>
      </c>
      <c r="C55" s="2" t="s">
        <v>251</v>
      </c>
      <c r="D55" s="2" t="s">
        <v>51</v>
      </c>
      <c r="E55" s="2" t="s">
        <v>252</v>
      </c>
      <c r="F55" s="2" t="s">
        <v>253</v>
      </c>
      <c r="G55" s="2" t="s">
        <v>254</v>
      </c>
      <c r="H55" s="12" t="s">
        <v>43</v>
      </c>
      <c r="I55" s="2" t="s">
        <v>43</v>
      </c>
      <c r="J55" s="2" t="s">
        <v>43</v>
      </c>
      <c r="K55" s="2" t="s">
        <v>43</v>
      </c>
    </row>
    <row r="56" customFormat="false" ht="14.55" hidden="false" customHeight="false" outlineLevel="0" collapsed="false">
      <c r="A56" s="11" t="s">
        <v>255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customFormat="false" ht="14.9" hidden="false" customHeight="false" outlineLevel="0" collapsed="false">
      <c r="A57" s="2" t="s">
        <v>256</v>
      </c>
      <c r="B57" s="2" t="s">
        <v>255</v>
      </c>
      <c r="C57" s="2" t="s">
        <v>257</v>
      </c>
      <c r="D57" s="2" t="s">
        <v>39</v>
      </c>
      <c r="E57" s="2" t="s">
        <v>258</v>
      </c>
      <c r="F57" s="2" t="s">
        <v>259</v>
      </c>
      <c r="G57" s="2" t="s">
        <v>260</v>
      </c>
      <c r="H57" s="12" t="s">
        <v>43</v>
      </c>
      <c r="I57" s="2" t="s">
        <v>43</v>
      </c>
      <c r="J57" s="2" t="s">
        <v>43</v>
      </c>
      <c r="K57" s="2" t="s">
        <v>43</v>
      </c>
    </row>
    <row r="58" customFormat="false" ht="25.35" hidden="false" customHeight="false" outlineLevel="0" collapsed="false">
      <c r="A58" s="2" t="s">
        <v>261</v>
      </c>
      <c r="B58" s="2" t="s">
        <v>255</v>
      </c>
      <c r="C58" s="2" t="s">
        <v>262</v>
      </c>
      <c r="D58" s="2" t="s">
        <v>51</v>
      </c>
      <c r="E58" s="2" t="s">
        <v>263</v>
      </c>
      <c r="F58" s="2" t="s">
        <v>264</v>
      </c>
      <c r="G58" s="2" t="s">
        <v>265</v>
      </c>
      <c r="H58" s="12" t="s">
        <v>43</v>
      </c>
      <c r="I58" s="2" t="s">
        <v>43</v>
      </c>
      <c r="J58" s="2" t="s">
        <v>43</v>
      </c>
      <c r="K58" s="2" t="s">
        <v>43</v>
      </c>
    </row>
    <row r="59" customFormat="false" ht="25.35" hidden="false" customHeight="false" outlineLevel="0" collapsed="false">
      <c r="A59" s="2" t="s">
        <v>266</v>
      </c>
      <c r="B59" s="2" t="s">
        <v>255</v>
      </c>
      <c r="C59" s="2" t="s">
        <v>267</v>
      </c>
      <c r="D59" s="2" t="s">
        <v>51</v>
      </c>
      <c r="E59" s="2" t="s">
        <v>268</v>
      </c>
      <c r="F59" s="2" t="s">
        <v>269</v>
      </c>
      <c r="G59" s="2" t="s">
        <v>270</v>
      </c>
      <c r="H59" s="12" t="s">
        <v>43</v>
      </c>
      <c r="I59" s="2" t="s">
        <v>43</v>
      </c>
      <c r="J59" s="2" t="s">
        <v>43</v>
      </c>
      <c r="K59" s="2" t="s">
        <v>43</v>
      </c>
    </row>
    <row r="60" customFormat="false" ht="25.35" hidden="false" customHeight="false" outlineLevel="0" collapsed="false">
      <c r="A60" s="2" t="s">
        <v>271</v>
      </c>
      <c r="B60" s="2" t="s">
        <v>255</v>
      </c>
      <c r="C60" s="2" t="s">
        <v>272</v>
      </c>
      <c r="D60" s="2" t="s">
        <v>57</v>
      </c>
      <c r="E60" s="2" t="s">
        <v>273</v>
      </c>
      <c r="F60" s="2" t="s">
        <v>274</v>
      </c>
      <c r="G60" s="2" t="s">
        <v>275</v>
      </c>
      <c r="H60" s="12" t="s">
        <v>43</v>
      </c>
      <c r="I60" s="2" t="s">
        <v>43</v>
      </c>
      <c r="J60" s="2" t="s">
        <v>43</v>
      </c>
      <c r="K60" s="2" t="s">
        <v>43</v>
      </c>
    </row>
    <row r="61" customFormat="false" ht="35.8" hidden="false" customHeight="false" outlineLevel="0" collapsed="false">
      <c r="A61" s="2" t="s">
        <v>276</v>
      </c>
      <c r="B61" s="2" t="s">
        <v>255</v>
      </c>
      <c r="C61" s="2" t="s">
        <v>277</v>
      </c>
      <c r="D61" s="2" t="s">
        <v>39</v>
      </c>
      <c r="E61" s="2" t="s">
        <v>278</v>
      </c>
      <c r="F61" s="2" t="s">
        <v>279</v>
      </c>
      <c r="G61" s="2" t="s">
        <v>280</v>
      </c>
      <c r="H61" s="12" t="s">
        <v>43</v>
      </c>
      <c r="I61" s="2" t="s">
        <v>43</v>
      </c>
      <c r="J61" s="2" t="s">
        <v>43</v>
      </c>
      <c r="K61" s="2" t="s">
        <v>43</v>
      </c>
    </row>
    <row r="62" customFormat="false" ht="25.35" hidden="false" customHeight="false" outlineLevel="0" collapsed="false">
      <c r="A62" s="2" t="s">
        <v>281</v>
      </c>
      <c r="B62" s="2" t="s">
        <v>255</v>
      </c>
      <c r="C62" s="2" t="s">
        <v>282</v>
      </c>
      <c r="D62" s="2" t="s">
        <v>39</v>
      </c>
      <c r="E62" s="2" t="s">
        <v>283</v>
      </c>
      <c r="F62" s="2" t="s">
        <v>284</v>
      </c>
      <c r="G62" s="2" t="s">
        <v>285</v>
      </c>
      <c r="H62" s="12" t="s">
        <v>43</v>
      </c>
      <c r="I62" s="2" t="s">
        <v>43</v>
      </c>
      <c r="J62" s="2" t="s">
        <v>43</v>
      </c>
      <c r="K62" s="2" t="s">
        <v>43</v>
      </c>
    </row>
    <row r="63" customFormat="false" ht="25.35" hidden="false" customHeight="false" outlineLevel="0" collapsed="false">
      <c r="A63" s="2" t="s">
        <v>286</v>
      </c>
      <c r="B63" s="2" t="s">
        <v>255</v>
      </c>
      <c r="C63" s="2" t="s">
        <v>287</v>
      </c>
      <c r="D63" s="2" t="s">
        <v>57</v>
      </c>
      <c r="E63" s="2" t="s">
        <v>288</v>
      </c>
      <c r="F63" s="2" t="s">
        <v>274</v>
      </c>
      <c r="G63" s="2" t="s">
        <v>289</v>
      </c>
      <c r="H63" s="12" t="s">
        <v>43</v>
      </c>
      <c r="I63" s="2" t="s">
        <v>43</v>
      </c>
      <c r="J63" s="2" t="s">
        <v>43</v>
      </c>
      <c r="K63" s="2" t="s">
        <v>43</v>
      </c>
    </row>
    <row r="64" customFormat="false" ht="14.55" hidden="false" customHeight="false" outlineLevel="0" collapsed="false">
      <c r="A64" s="11" t="s">
        <v>290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customFormat="false" ht="25.35" hidden="false" customHeight="false" outlineLevel="0" collapsed="false">
      <c r="A65" s="2" t="s">
        <v>291</v>
      </c>
      <c r="B65" s="2" t="s">
        <v>290</v>
      </c>
      <c r="C65" s="2" t="s">
        <v>292</v>
      </c>
      <c r="D65" s="2" t="s">
        <v>39</v>
      </c>
      <c r="E65" s="2" t="s">
        <v>293</v>
      </c>
      <c r="F65" s="2" t="s">
        <v>294</v>
      </c>
      <c r="G65" s="2" t="s">
        <v>295</v>
      </c>
      <c r="H65" s="12" t="s">
        <v>43</v>
      </c>
      <c r="I65" s="2" t="s">
        <v>43</v>
      </c>
      <c r="J65" s="2" t="s">
        <v>43</v>
      </c>
      <c r="K65" s="2" t="s">
        <v>43</v>
      </c>
    </row>
    <row r="66" customFormat="false" ht="25.35" hidden="false" customHeight="false" outlineLevel="0" collapsed="false">
      <c r="A66" s="2" t="s">
        <v>296</v>
      </c>
      <c r="B66" s="2" t="s">
        <v>290</v>
      </c>
      <c r="C66" s="2" t="s">
        <v>297</v>
      </c>
      <c r="D66" s="2" t="s">
        <v>39</v>
      </c>
      <c r="E66" s="2" t="s">
        <v>298</v>
      </c>
      <c r="F66" s="2" t="s">
        <v>299</v>
      </c>
      <c r="G66" s="2" t="s">
        <v>300</v>
      </c>
      <c r="H66" s="12" t="s">
        <v>43</v>
      </c>
      <c r="I66" s="2" t="s">
        <v>43</v>
      </c>
      <c r="J66" s="2" t="s">
        <v>43</v>
      </c>
      <c r="K66" s="2" t="s">
        <v>43</v>
      </c>
    </row>
    <row r="67" customFormat="false" ht="25.35" hidden="false" customHeight="false" outlineLevel="0" collapsed="false">
      <c r="A67" s="2" t="s">
        <v>301</v>
      </c>
      <c r="B67" s="2" t="s">
        <v>290</v>
      </c>
      <c r="C67" s="2" t="s">
        <v>302</v>
      </c>
      <c r="D67" s="2" t="s">
        <v>51</v>
      </c>
      <c r="E67" s="2" t="s">
        <v>303</v>
      </c>
      <c r="F67" s="2" t="s">
        <v>299</v>
      </c>
      <c r="G67" s="2" t="s">
        <v>304</v>
      </c>
      <c r="H67" s="12" t="s">
        <v>43</v>
      </c>
      <c r="I67" s="2" t="s">
        <v>43</v>
      </c>
      <c r="J67" s="2" t="s">
        <v>43</v>
      </c>
      <c r="K67" s="2" t="s">
        <v>43</v>
      </c>
    </row>
    <row r="68" customFormat="false" ht="14.9" hidden="false" customHeight="false" outlineLevel="0" collapsed="false">
      <c r="A68" s="2" t="s">
        <v>305</v>
      </c>
      <c r="B68" s="2" t="s">
        <v>290</v>
      </c>
      <c r="C68" s="2" t="s">
        <v>306</v>
      </c>
      <c r="D68" s="2" t="s">
        <v>51</v>
      </c>
      <c r="E68" s="2" t="s">
        <v>307</v>
      </c>
      <c r="F68" s="2" t="s">
        <v>299</v>
      </c>
      <c r="G68" s="2" t="s">
        <v>308</v>
      </c>
      <c r="H68" s="12" t="s">
        <v>43</v>
      </c>
      <c r="I68" s="2" t="s">
        <v>43</v>
      </c>
      <c r="J68" s="2" t="s">
        <v>43</v>
      </c>
      <c r="K68" s="2" t="s">
        <v>43</v>
      </c>
    </row>
    <row r="69" customFormat="false" ht="25.35" hidden="false" customHeight="false" outlineLevel="0" collapsed="false">
      <c r="A69" s="2" t="s">
        <v>309</v>
      </c>
      <c r="B69" s="2" t="s">
        <v>290</v>
      </c>
      <c r="C69" s="2" t="s">
        <v>310</v>
      </c>
      <c r="D69" s="2" t="s">
        <v>57</v>
      </c>
      <c r="E69" s="2" t="s">
        <v>311</v>
      </c>
      <c r="F69" s="2" t="s">
        <v>299</v>
      </c>
      <c r="G69" s="2" t="s">
        <v>312</v>
      </c>
      <c r="H69" s="12" t="s">
        <v>43</v>
      </c>
      <c r="I69" s="2" t="s">
        <v>43</v>
      </c>
      <c r="J69" s="2" t="s">
        <v>43</v>
      </c>
      <c r="K69" s="2" t="s">
        <v>43</v>
      </c>
    </row>
    <row r="70" customFormat="false" ht="14.55" hidden="false" customHeight="false" outlineLevel="0" collapsed="false">
      <c r="A70" s="11" t="s">
        <v>313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customFormat="false" ht="35.8" hidden="false" customHeight="false" outlineLevel="0" collapsed="false">
      <c r="A71" s="2" t="s">
        <v>314</v>
      </c>
      <c r="B71" s="2" t="s">
        <v>313</v>
      </c>
      <c r="C71" s="2" t="s">
        <v>315</v>
      </c>
      <c r="D71" s="2" t="s">
        <v>57</v>
      </c>
      <c r="E71" s="2" t="s">
        <v>316</v>
      </c>
      <c r="F71" s="2" t="s">
        <v>317</v>
      </c>
      <c r="G71" s="2" t="s">
        <v>318</v>
      </c>
      <c r="H71" s="12" t="s">
        <v>43</v>
      </c>
      <c r="I71" s="2" t="s">
        <v>43</v>
      </c>
      <c r="J71" s="2" t="s">
        <v>43</v>
      </c>
      <c r="K71" s="2" t="s">
        <v>43</v>
      </c>
    </row>
    <row r="72" customFormat="false" ht="14.55" hidden="false" customHeight="false" outlineLevel="0" collapsed="false">
      <c r="A72" s="11" t="s">
        <v>319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customFormat="false" ht="25.35" hidden="false" customHeight="false" outlineLevel="0" collapsed="false">
      <c r="A73" s="2" t="s">
        <v>320</v>
      </c>
      <c r="B73" s="2" t="s">
        <v>319</v>
      </c>
      <c r="C73" s="2" t="s">
        <v>321</v>
      </c>
      <c r="D73" s="2" t="s">
        <v>51</v>
      </c>
      <c r="E73" s="2" t="s">
        <v>322</v>
      </c>
      <c r="F73" s="2" t="s">
        <v>323</v>
      </c>
      <c r="G73" s="2" t="s">
        <v>324</v>
      </c>
      <c r="H73" s="12" t="s">
        <v>43</v>
      </c>
      <c r="I73" s="2" t="s">
        <v>43</v>
      </c>
      <c r="J73" s="2" t="s">
        <v>43</v>
      </c>
      <c r="K73" s="2" t="s">
        <v>43</v>
      </c>
    </row>
    <row r="74" customFormat="false" ht="25.35" hidden="false" customHeight="false" outlineLevel="0" collapsed="false">
      <c r="A74" s="2" t="s">
        <v>325</v>
      </c>
      <c r="B74" s="2" t="s">
        <v>319</v>
      </c>
      <c r="C74" s="2" t="s">
        <v>326</v>
      </c>
      <c r="D74" s="2" t="s">
        <v>57</v>
      </c>
      <c r="E74" s="2" t="s">
        <v>327</v>
      </c>
      <c r="F74" s="2" t="s">
        <v>328</v>
      </c>
      <c r="G74" s="2" t="s">
        <v>329</v>
      </c>
      <c r="H74" s="12" t="s">
        <v>43</v>
      </c>
      <c r="I74" s="2" t="s">
        <v>43</v>
      </c>
      <c r="J74" s="2" t="s">
        <v>43</v>
      </c>
      <c r="K74" s="2" t="s">
        <v>43</v>
      </c>
    </row>
    <row r="75" customFormat="false" ht="35.8" hidden="false" customHeight="false" outlineLevel="0" collapsed="false">
      <c r="A75" s="2" t="s">
        <v>330</v>
      </c>
      <c r="B75" s="2" t="s">
        <v>319</v>
      </c>
      <c r="C75" s="2" t="s">
        <v>331</v>
      </c>
      <c r="D75" s="2" t="s">
        <v>39</v>
      </c>
      <c r="E75" s="2" t="s">
        <v>332</v>
      </c>
      <c r="F75" s="2" t="s">
        <v>333</v>
      </c>
      <c r="G75" s="2" t="s">
        <v>334</v>
      </c>
      <c r="H75" s="12" t="s">
        <v>43</v>
      </c>
      <c r="I75" s="2" t="s">
        <v>43</v>
      </c>
      <c r="J75" s="2" t="s">
        <v>43</v>
      </c>
      <c r="K75" s="2" t="s">
        <v>43</v>
      </c>
    </row>
    <row r="76" customFormat="false" ht="35.8" hidden="false" customHeight="false" outlineLevel="0" collapsed="false">
      <c r="A76" s="2" t="s">
        <v>335</v>
      </c>
      <c r="B76" s="2" t="s">
        <v>319</v>
      </c>
      <c r="C76" s="2" t="s">
        <v>336</v>
      </c>
      <c r="D76" s="2" t="s">
        <v>57</v>
      </c>
      <c r="E76" s="2" t="s">
        <v>337</v>
      </c>
      <c r="F76" s="2" t="s">
        <v>338</v>
      </c>
      <c r="G76" s="2" t="s">
        <v>339</v>
      </c>
      <c r="H76" s="12" t="s">
        <v>43</v>
      </c>
      <c r="I76" s="2" t="s">
        <v>43</v>
      </c>
      <c r="J76" s="2" t="s">
        <v>43</v>
      </c>
      <c r="K76" s="2" t="s">
        <v>43</v>
      </c>
    </row>
    <row r="77" customFormat="false" ht="14.55" hidden="false" customHeight="false" outlineLevel="0" collapsed="false">
      <c r="A77" s="11" t="s">
        <v>340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customFormat="false" ht="35.8" hidden="false" customHeight="false" outlineLevel="0" collapsed="false">
      <c r="A78" s="2" t="s">
        <v>341</v>
      </c>
      <c r="B78" s="2" t="s">
        <v>340</v>
      </c>
      <c r="C78" s="2" t="s">
        <v>342</v>
      </c>
      <c r="D78" s="2" t="s">
        <v>51</v>
      </c>
      <c r="E78" s="2" t="s">
        <v>343</v>
      </c>
      <c r="F78" s="2" t="s">
        <v>344</v>
      </c>
      <c r="G78" s="2" t="s">
        <v>345</v>
      </c>
      <c r="H78" s="12" t="s">
        <v>43</v>
      </c>
      <c r="I78" s="2" t="s">
        <v>43</v>
      </c>
      <c r="J78" s="2" t="s">
        <v>43</v>
      </c>
      <c r="K78" s="2" t="s">
        <v>43</v>
      </c>
    </row>
    <row r="79" customFormat="false" ht="35.8" hidden="false" customHeight="false" outlineLevel="0" collapsed="false">
      <c r="A79" s="2" t="s">
        <v>346</v>
      </c>
      <c r="B79" s="2" t="s">
        <v>340</v>
      </c>
      <c r="C79" s="2" t="s">
        <v>347</v>
      </c>
      <c r="D79" s="2" t="s">
        <v>57</v>
      </c>
      <c r="E79" s="2" t="s">
        <v>348</v>
      </c>
      <c r="F79" s="2" t="s">
        <v>349</v>
      </c>
      <c r="G79" s="2" t="s">
        <v>350</v>
      </c>
      <c r="H79" s="12" t="s">
        <v>43</v>
      </c>
      <c r="I79" s="2" t="s">
        <v>43</v>
      </c>
      <c r="J79" s="2" t="s">
        <v>43</v>
      </c>
      <c r="K79" s="2" t="s">
        <v>43</v>
      </c>
    </row>
    <row r="80" customFormat="false" ht="46.25" hidden="false" customHeight="false" outlineLevel="0" collapsed="false">
      <c r="A80" s="2" t="s">
        <v>351</v>
      </c>
      <c r="B80" s="2" t="s">
        <v>340</v>
      </c>
      <c r="C80" s="2" t="s">
        <v>352</v>
      </c>
      <c r="D80" s="2" t="s">
        <v>57</v>
      </c>
      <c r="E80" s="2" t="s">
        <v>353</v>
      </c>
      <c r="F80" s="2" t="s">
        <v>354</v>
      </c>
      <c r="G80" s="2" t="s">
        <v>355</v>
      </c>
      <c r="H80" s="12" t="s">
        <v>43</v>
      </c>
      <c r="I80" s="2" t="s">
        <v>43</v>
      </c>
      <c r="J80" s="2" t="s">
        <v>43</v>
      </c>
      <c r="K80" s="2" t="s">
        <v>43</v>
      </c>
    </row>
    <row r="81" customFormat="false" ht="14.55" hidden="false" customHeight="false" outlineLevel="0" collapsed="false">
      <c r="A81" s="11" t="s">
        <v>356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customFormat="false" ht="25.35" hidden="false" customHeight="false" outlineLevel="0" collapsed="false">
      <c r="A82" s="2" t="s">
        <v>357</v>
      </c>
      <c r="B82" s="2" t="s">
        <v>356</v>
      </c>
      <c r="C82" s="2" t="s">
        <v>358</v>
      </c>
      <c r="D82" s="2" t="s">
        <v>51</v>
      </c>
      <c r="E82" s="2" t="s">
        <v>359</v>
      </c>
      <c r="F82" s="2" t="s">
        <v>360</v>
      </c>
      <c r="G82" s="2" t="s">
        <v>361</v>
      </c>
      <c r="H82" s="12" t="s">
        <v>43</v>
      </c>
      <c r="I82" s="2" t="s">
        <v>43</v>
      </c>
      <c r="J82" s="2" t="s">
        <v>43</v>
      </c>
      <c r="K82" s="2" t="s">
        <v>43</v>
      </c>
    </row>
    <row r="83" customFormat="false" ht="25.35" hidden="false" customHeight="false" outlineLevel="0" collapsed="false">
      <c r="A83" s="2" t="s">
        <v>362</v>
      </c>
      <c r="B83" s="2" t="s">
        <v>356</v>
      </c>
      <c r="C83" s="2" t="s">
        <v>363</v>
      </c>
      <c r="D83" s="2" t="s">
        <v>57</v>
      </c>
      <c r="E83" s="2" t="s">
        <v>364</v>
      </c>
      <c r="F83" s="2" t="s">
        <v>365</v>
      </c>
      <c r="G83" s="2" t="s">
        <v>366</v>
      </c>
      <c r="H83" s="12" t="s">
        <v>43</v>
      </c>
      <c r="I83" s="2" t="s">
        <v>43</v>
      </c>
      <c r="J83" s="2" t="s">
        <v>43</v>
      </c>
      <c r="K83" s="2" t="s">
        <v>43</v>
      </c>
    </row>
    <row r="84" customFormat="false" ht="14.55" hidden="false" customHeight="false" outlineLevel="0" collapsed="false">
      <c r="A84" s="11" t="s">
        <v>367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customFormat="false" ht="25.35" hidden="false" customHeight="false" outlineLevel="0" collapsed="false">
      <c r="A85" s="2" t="s">
        <v>368</v>
      </c>
      <c r="B85" s="2" t="s">
        <v>367</v>
      </c>
      <c r="C85" s="2" t="s">
        <v>369</v>
      </c>
      <c r="D85" s="2" t="s">
        <v>39</v>
      </c>
      <c r="E85" s="2" t="s">
        <v>370</v>
      </c>
      <c r="F85" s="2" t="s">
        <v>371</v>
      </c>
      <c r="G85" s="2" t="s">
        <v>372</v>
      </c>
      <c r="H85" s="12" t="s">
        <v>43</v>
      </c>
      <c r="I85" s="2" t="s">
        <v>43</v>
      </c>
      <c r="J85" s="2" t="s">
        <v>43</v>
      </c>
      <c r="K85" s="2" t="s">
        <v>43</v>
      </c>
    </row>
    <row r="86" customFormat="false" ht="25.35" hidden="false" customHeight="false" outlineLevel="0" collapsed="false">
      <c r="A86" s="2" t="s">
        <v>373</v>
      </c>
      <c r="B86" s="2" t="s">
        <v>367</v>
      </c>
      <c r="C86" s="2" t="s">
        <v>374</v>
      </c>
      <c r="D86" s="2" t="s">
        <v>51</v>
      </c>
      <c r="E86" s="2" t="s">
        <v>375</v>
      </c>
      <c r="F86" s="2" t="s">
        <v>376</v>
      </c>
      <c r="G86" s="2" t="s">
        <v>377</v>
      </c>
      <c r="H86" s="12" t="s">
        <v>43</v>
      </c>
      <c r="I86" s="2" t="s">
        <v>43</v>
      </c>
      <c r="J86" s="2" t="s">
        <v>43</v>
      </c>
      <c r="K86" s="2" t="s">
        <v>43</v>
      </c>
    </row>
    <row r="87" customFormat="false" ht="25.35" hidden="false" customHeight="false" outlineLevel="0" collapsed="false">
      <c r="A87" s="2" t="s">
        <v>378</v>
      </c>
      <c r="B87" s="2" t="s">
        <v>367</v>
      </c>
      <c r="C87" s="2" t="s">
        <v>379</v>
      </c>
      <c r="D87" s="2" t="s">
        <v>51</v>
      </c>
      <c r="E87" s="2" t="s">
        <v>380</v>
      </c>
      <c r="F87" s="2" t="s">
        <v>381</v>
      </c>
      <c r="G87" s="2" t="s">
        <v>382</v>
      </c>
      <c r="H87" s="12" t="s">
        <v>43</v>
      </c>
      <c r="I87" s="2" t="s">
        <v>43</v>
      </c>
      <c r="J87" s="2" t="s">
        <v>43</v>
      </c>
      <c r="K87" s="2" t="s">
        <v>43</v>
      </c>
    </row>
    <row r="88" customFormat="false" ht="25.35" hidden="false" customHeight="false" outlineLevel="0" collapsed="false">
      <c r="A88" s="2" t="s">
        <v>383</v>
      </c>
      <c r="B88" s="2" t="s">
        <v>367</v>
      </c>
      <c r="C88" s="2" t="s">
        <v>384</v>
      </c>
      <c r="D88" s="2" t="s">
        <v>39</v>
      </c>
      <c r="E88" s="2" t="s">
        <v>385</v>
      </c>
      <c r="F88" s="2" t="s">
        <v>386</v>
      </c>
      <c r="G88" s="2" t="s">
        <v>387</v>
      </c>
      <c r="H88" s="12" t="s">
        <v>43</v>
      </c>
      <c r="I88" s="2" t="s">
        <v>43</v>
      </c>
      <c r="J88" s="2" t="s">
        <v>43</v>
      </c>
      <c r="K88" s="2" t="s">
        <v>43</v>
      </c>
    </row>
    <row r="89" customFormat="false" ht="14.55" hidden="false" customHeight="false" outlineLevel="0" collapsed="false">
      <c r="A89" s="11" t="s">
        <v>388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customFormat="false" ht="35.8" hidden="false" customHeight="false" outlineLevel="0" collapsed="false">
      <c r="A90" s="2" t="s">
        <v>389</v>
      </c>
      <c r="B90" s="2" t="s">
        <v>388</v>
      </c>
      <c r="C90" s="2" t="s">
        <v>390</v>
      </c>
      <c r="D90" s="2" t="s">
        <v>51</v>
      </c>
      <c r="E90" s="2" t="s">
        <v>391</v>
      </c>
      <c r="F90" s="2" t="s">
        <v>392</v>
      </c>
      <c r="G90" s="2" t="s">
        <v>393</v>
      </c>
      <c r="H90" s="12" t="s">
        <v>43</v>
      </c>
      <c r="I90" s="2" t="s">
        <v>43</v>
      </c>
      <c r="J90" s="2" t="s">
        <v>43</v>
      </c>
      <c r="K90" s="2" t="s">
        <v>43</v>
      </c>
    </row>
    <row r="91" customFormat="false" ht="46.25" hidden="false" customHeight="false" outlineLevel="0" collapsed="false">
      <c r="A91" s="2" t="s">
        <v>394</v>
      </c>
      <c r="B91" s="2" t="s">
        <v>388</v>
      </c>
      <c r="C91" s="2" t="s">
        <v>395</v>
      </c>
      <c r="D91" s="2" t="s">
        <v>51</v>
      </c>
      <c r="E91" s="2" t="s">
        <v>396</v>
      </c>
      <c r="F91" s="2" t="s">
        <v>397</v>
      </c>
      <c r="G91" s="2" t="s">
        <v>398</v>
      </c>
      <c r="H91" s="12" t="s">
        <v>43</v>
      </c>
      <c r="I91" s="2" t="s">
        <v>43</v>
      </c>
      <c r="J91" s="2" t="s">
        <v>43</v>
      </c>
      <c r="K91" s="2" t="s">
        <v>43</v>
      </c>
    </row>
    <row r="92" customFormat="false" ht="25.35" hidden="false" customHeight="false" outlineLevel="0" collapsed="false">
      <c r="A92" s="2" t="s">
        <v>399</v>
      </c>
      <c r="B92" s="2" t="s">
        <v>388</v>
      </c>
      <c r="C92" s="2" t="s">
        <v>400</v>
      </c>
      <c r="D92" s="2" t="s">
        <v>51</v>
      </c>
      <c r="E92" s="2" t="s">
        <v>401</v>
      </c>
      <c r="F92" s="2" t="s">
        <v>402</v>
      </c>
      <c r="G92" s="2" t="s">
        <v>403</v>
      </c>
      <c r="H92" s="12" t="s">
        <v>43</v>
      </c>
      <c r="I92" s="2" t="s">
        <v>43</v>
      </c>
      <c r="J92" s="2" t="s">
        <v>43</v>
      </c>
      <c r="K92" s="2" t="s">
        <v>43</v>
      </c>
    </row>
    <row r="93" customFormat="false" ht="25.35" hidden="false" customHeight="false" outlineLevel="0" collapsed="false">
      <c r="A93" s="2" t="s">
        <v>404</v>
      </c>
      <c r="B93" s="2" t="s">
        <v>388</v>
      </c>
      <c r="C93" s="2" t="s">
        <v>405</v>
      </c>
      <c r="D93" s="2" t="s">
        <v>51</v>
      </c>
      <c r="E93" s="2" t="s">
        <v>406</v>
      </c>
      <c r="F93" s="2" t="s">
        <v>407</v>
      </c>
      <c r="G93" s="2" t="s">
        <v>408</v>
      </c>
      <c r="H93" s="12" t="s">
        <v>43</v>
      </c>
      <c r="I93" s="2" t="s">
        <v>43</v>
      </c>
      <c r="J93" s="2" t="s">
        <v>43</v>
      </c>
      <c r="K93" s="2" t="s">
        <v>43</v>
      </c>
    </row>
    <row r="94" customFormat="false" ht="35.8" hidden="false" customHeight="false" outlineLevel="0" collapsed="false">
      <c r="A94" s="2" t="s">
        <v>409</v>
      </c>
      <c r="B94" s="2" t="s">
        <v>388</v>
      </c>
      <c r="C94" s="2" t="s">
        <v>410</v>
      </c>
      <c r="D94" s="2" t="s">
        <v>51</v>
      </c>
      <c r="E94" s="2" t="s">
        <v>411</v>
      </c>
      <c r="F94" s="2" t="s">
        <v>412</v>
      </c>
      <c r="G94" s="2" t="s">
        <v>413</v>
      </c>
      <c r="H94" s="12" t="s">
        <v>43</v>
      </c>
      <c r="I94" s="2" t="s">
        <v>43</v>
      </c>
      <c r="J94" s="2" t="s">
        <v>43</v>
      </c>
      <c r="K94" s="2" t="s">
        <v>43</v>
      </c>
    </row>
    <row r="95" customFormat="false" ht="14.55" hidden="false" customHeight="false" outlineLevel="0" collapsed="false">
      <c r="A95" s="11" t="s">
        <v>414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customFormat="false" ht="25.35" hidden="false" customHeight="false" outlineLevel="0" collapsed="false">
      <c r="A96" s="2" t="s">
        <v>415</v>
      </c>
      <c r="B96" s="2" t="s">
        <v>414</v>
      </c>
      <c r="C96" s="2" t="s">
        <v>416</v>
      </c>
      <c r="D96" s="2" t="s">
        <v>39</v>
      </c>
      <c r="E96" s="2" t="s">
        <v>417</v>
      </c>
      <c r="F96" s="2" t="s">
        <v>418</v>
      </c>
      <c r="G96" s="2" t="s">
        <v>419</v>
      </c>
      <c r="H96" s="12" t="s">
        <v>43</v>
      </c>
      <c r="I96" s="2" t="s">
        <v>43</v>
      </c>
      <c r="J96" s="2" t="s">
        <v>43</v>
      </c>
      <c r="K96" s="2" t="s">
        <v>43</v>
      </c>
    </row>
    <row r="97" customFormat="false" ht="25.35" hidden="false" customHeight="false" outlineLevel="0" collapsed="false">
      <c r="A97" s="2" t="s">
        <v>420</v>
      </c>
      <c r="B97" s="2" t="s">
        <v>414</v>
      </c>
      <c r="C97" s="2" t="s">
        <v>421</v>
      </c>
      <c r="D97" s="2" t="s">
        <v>39</v>
      </c>
      <c r="E97" s="2" t="s">
        <v>422</v>
      </c>
      <c r="F97" s="2" t="s">
        <v>423</v>
      </c>
      <c r="G97" s="2" t="s">
        <v>424</v>
      </c>
      <c r="H97" s="12" t="s">
        <v>43</v>
      </c>
      <c r="I97" s="2" t="s">
        <v>43</v>
      </c>
      <c r="J97" s="2" t="s">
        <v>43</v>
      </c>
      <c r="K97" s="2" t="s">
        <v>43</v>
      </c>
    </row>
    <row r="98" customFormat="false" ht="25.35" hidden="false" customHeight="false" outlineLevel="0" collapsed="false">
      <c r="A98" s="2" t="s">
        <v>425</v>
      </c>
      <c r="B98" s="2" t="s">
        <v>414</v>
      </c>
      <c r="C98" s="2" t="s">
        <v>426</v>
      </c>
      <c r="D98" s="2" t="s">
        <v>51</v>
      </c>
      <c r="E98" s="2" t="s">
        <v>422</v>
      </c>
      <c r="F98" s="2" t="s">
        <v>427</v>
      </c>
      <c r="G98" s="2" t="s">
        <v>428</v>
      </c>
      <c r="H98" s="12" t="s">
        <v>43</v>
      </c>
      <c r="I98" s="2" t="s">
        <v>43</v>
      </c>
      <c r="J98" s="2" t="s">
        <v>43</v>
      </c>
      <c r="K98" s="2" t="s">
        <v>43</v>
      </c>
    </row>
    <row r="99" customFormat="false" ht="25.35" hidden="false" customHeight="false" outlineLevel="0" collapsed="false">
      <c r="A99" s="2" t="s">
        <v>429</v>
      </c>
      <c r="B99" s="2" t="s">
        <v>414</v>
      </c>
      <c r="C99" s="2" t="s">
        <v>430</v>
      </c>
      <c r="D99" s="2" t="s">
        <v>51</v>
      </c>
      <c r="E99" s="2" t="s">
        <v>422</v>
      </c>
      <c r="F99" s="2" t="s">
        <v>431</v>
      </c>
      <c r="G99" s="2" t="s">
        <v>432</v>
      </c>
      <c r="H99" s="12" t="s">
        <v>43</v>
      </c>
      <c r="I99" s="2" t="s">
        <v>43</v>
      </c>
      <c r="J99" s="2" t="s">
        <v>43</v>
      </c>
      <c r="K99" s="2" t="s">
        <v>43</v>
      </c>
    </row>
    <row r="100" customFormat="false" ht="25.35" hidden="false" customHeight="false" outlineLevel="0" collapsed="false">
      <c r="A100" s="2" t="s">
        <v>433</v>
      </c>
      <c r="B100" s="2" t="s">
        <v>414</v>
      </c>
      <c r="C100" s="2" t="s">
        <v>434</v>
      </c>
      <c r="D100" s="2" t="s">
        <v>51</v>
      </c>
      <c r="E100" s="2" t="s">
        <v>435</v>
      </c>
      <c r="F100" s="2" t="s">
        <v>436</v>
      </c>
      <c r="G100" s="2" t="s">
        <v>437</v>
      </c>
      <c r="H100" s="12" t="s">
        <v>43</v>
      </c>
      <c r="I100" s="2" t="s">
        <v>43</v>
      </c>
      <c r="J100" s="2" t="s">
        <v>43</v>
      </c>
      <c r="K100" s="2" t="s">
        <v>43</v>
      </c>
    </row>
    <row r="101" customFormat="false" ht="46.25" hidden="false" customHeight="false" outlineLevel="0" collapsed="false">
      <c r="A101" s="2" t="s">
        <v>438</v>
      </c>
      <c r="B101" s="2" t="s">
        <v>414</v>
      </c>
      <c r="C101" s="2" t="s">
        <v>439</v>
      </c>
      <c r="D101" s="2" t="s">
        <v>51</v>
      </c>
      <c r="E101" s="2" t="s">
        <v>440</v>
      </c>
      <c r="F101" s="2" t="s">
        <v>441</v>
      </c>
      <c r="G101" s="2" t="s">
        <v>442</v>
      </c>
      <c r="H101" s="12" t="s">
        <v>43</v>
      </c>
      <c r="I101" s="2" t="s">
        <v>43</v>
      </c>
      <c r="J101" s="2" t="s">
        <v>43</v>
      </c>
      <c r="K101" s="2" t="s">
        <v>43</v>
      </c>
    </row>
    <row r="102" customFormat="false" ht="25.35" hidden="false" customHeight="false" outlineLevel="0" collapsed="false">
      <c r="A102" s="2" t="s">
        <v>443</v>
      </c>
      <c r="B102" s="2" t="s">
        <v>414</v>
      </c>
      <c r="C102" s="2" t="s">
        <v>444</v>
      </c>
      <c r="D102" s="2" t="s">
        <v>51</v>
      </c>
      <c r="E102" s="2" t="s">
        <v>445</v>
      </c>
      <c r="F102" s="2" t="s">
        <v>446</v>
      </c>
      <c r="G102" s="2" t="s">
        <v>447</v>
      </c>
      <c r="H102" s="12" t="s">
        <v>43</v>
      </c>
      <c r="I102" s="2" t="s">
        <v>43</v>
      </c>
      <c r="J102" s="2" t="s">
        <v>43</v>
      </c>
      <c r="K102" s="2" t="s">
        <v>43</v>
      </c>
    </row>
    <row r="103" customFormat="false" ht="14.55" hidden="false" customHeight="false" outlineLevel="0" collapsed="false">
      <c r="A103" s="11" t="s">
        <v>448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customFormat="false" ht="35.8" hidden="false" customHeight="false" outlineLevel="0" collapsed="false">
      <c r="A104" s="2" t="s">
        <v>449</v>
      </c>
      <c r="B104" s="2" t="s">
        <v>448</v>
      </c>
      <c r="C104" s="2" t="s">
        <v>450</v>
      </c>
      <c r="D104" s="2" t="s">
        <v>51</v>
      </c>
      <c r="E104" s="2" t="s">
        <v>451</v>
      </c>
      <c r="F104" s="2" t="s">
        <v>452</v>
      </c>
      <c r="G104" s="2" t="s">
        <v>453</v>
      </c>
      <c r="H104" s="12" t="s">
        <v>43</v>
      </c>
      <c r="I104" s="2" t="s">
        <v>43</v>
      </c>
      <c r="J104" s="2" t="s">
        <v>43</v>
      </c>
      <c r="K104" s="2" t="s">
        <v>43</v>
      </c>
    </row>
    <row r="105" customFormat="false" ht="25.35" hidden="false" customHeight="false" outlineLevel="0" collapsed="false">
      <c r="A105" s="2" t="s">
        <v>454</v>
      </c>
      <c r="B105" s="2" t="s">
        <v>448</v>
      </c>
      <c r="C105" s="2" t="s">
        <v>455</v>
      </c>
      <c r="D105" s="2" t="s">
        <v>51</v>
      </c>
      <c r="E105" s="2" t="s">
        <v>456</v>
      </c>
      <c r="F105" s="2" t="s">
        <v>457</v>
      </c>
      <c r="G105" s="2" t="s">
        <v>458</v>
      </c>
      <c r="H105" s="12" t="s">
        <v>43</v>
      </c>
      <c r="I105" s="2" t="s">
        <v>43</v>
      </c>
      <c r="J105" s="2" t="s">
        <v>43</v>
      </c>
      <c r="K105" s="2" t="s">
        <v>43</v>
      </c>
    </row>
    <row r="106" customFormat="false" ht="25.35" hidden="false" customHeight="false" outlineLevel="0" collapsed="false">
      <c r="A106" s="2" t="s">
        <v>459</v>
      </c>
      <c r="B106" s="2" t="s">
        <v>448</v>
      </c>
      <c r="C106" s="2" t="s">
        <v>460</v>
      </c>
      <c r="D106" s="2" t="s">
        <v>51</v>
      </c>
      <c r="E106" s="2" t="s">
        <v>456</v>
      </c>
      <c r="F106" s="2" t="s">
        <v>461</v>
      </c>
      <c r="G106" s="2" t="s">
        <v>462</v>
      </c>
      <c r="H106" s="12" t="s">
        <v>43</v>
      </c>
      <c r="I106" s="2" t="s">
        <v>43</v>
      </c>
      <c r="J106" s="2" t="s">
        <v>43</v>
      </c>
      <c r="K106" s="2" t="s">
        <v>43</v>
      </c>
    </row>
    <row r="107" customFormat="false" ht="14.9" hidden="false" customHeight="false" outlineLevel="0" collapsed="false">
      <c r="A107" s="2" t="s">
        <v>463</v>
      </c>
      <c r="B107" s="2" t="s">
        <v>448</v>
      </c>
      <c r="C107" s="2" t="s">
        <v>464</v>
      </c>
      <c r="D107" s="2" t="s">
        <v>57</v>
      </c>
      <c r="E107" s="2" t="s">
        <v>456</v>
      </c>
      <c r="F107" s="2" t="s">
        <v>465</v>
      </c>
      <c r="G107" s="2" t="s">
        <v>466</v>
      </c>
      <c r="H107" s="12" t="s">
        <v>43</v>
      </c>
      <c r="I107" s="2" t="s">
        <v>43</v>
      </c>
      <c r="J107" s="2" t="s">
        <v>43</v>
      </c>
      <c r="K107" s="2" t="s">
        <v>43</v>
      </c>
    </row>
    <row r="108" customFormat="false" ht="25.35" hidden="false" customHeight="false" outlineLevel="0" collapsed="false">
      <c r="A108" s="2" t="s">
        <v>467</v>
      </c>
      <c r="B108" s="2" t="s">
        <v>448</v>
      </c>
      <c r="C108" s="2" t="s">
        <v>468</v>
      </c>
      <c r="D108" s="2" t="s">
        <v>51</v>
      </c>
      <c r="E108" s="2" t="s">
        <v>456</v>
      </c>
      <c r="F108" s="2" t="s">
        <v>469</v>
      </c>
      <c r="G108" s="2" t="s">
        <v>470</v>
      </c>
      <c r="H108" s="12" t="s">
        <v>43</v>
      </c>
      <c r="I108" s="2" t="s">
        <v>43</v>
      </c>
      <c r="J108" s="2" t="s">
        <v>43</v>
      </c>
      <c r="K108" s="2" t="s">
        <v>43</v>
      </c>
    </row>
    <row r="109" customFormat="false" ht="35.8" hidden="false" customHeight="false" outlineLevel="0" collapsed="false">
      <c r="A109" s="2" t="s">
        <v>471</v>
      </c>
      <c r="B109" s="2" t="s">
        <v>448</v>
      </c>
      <c r="C109" s="2" t="s">
        <v>472</v>
      </c>
      <c r="D109" s="2" t="s">
        <v>51</v>
      </c>
      <c r="E109" s="2" t="s">
        <v>456</v>
      </c>
      <c r="F109" s="2" t="s">
        <v>473</v>
      </c>
      <c r="G109" s="2" t="s">
        <v>474</v>
      </c>
      <c r="H109" s="12" t="s">
        <v>43</v>
      </c>
      <c r="I109" s="2" t="s">
        <v>43</v>
      </c>
      <c r="J109" s="2" t="s">
        <v>43</v>
      </c>
      <c r="K109" s="2" t="s">
        <v>43</v>
      </c>
    </row>
    <row r="110" customFormat="false" ht="14.9" hidden="false" customHeight="false" outlineLevel="0" collapsed="false">
      <c r="A110" s="2" t="s">
        <v>475</v>
      </c>
      <c r="B110" s="2" t="s">
        <v>448</v>
      </c>
      <c r="C110" s="2" t="s">
        <v>476</v>
      </c>
      <c r="D110" s="2" t="s">
        <v>57</v>
      </c>
      <c r="E110" s="2" t="s">
        <v>456</v>
      </c>
      <c r="F110" s="2" t="s">
        <v>477</v>
      </c>
      <c r="G110" s="2" t="s">
        <v>478</v>
      </c>
      <c r="H110" s="12" t="s">
        <v>43</v>
      </c>
      <c r="I110" s="2" t="s">
        <v>43</v>
      </c>
      <c r="J110" s="2" t="s">
        <v>43</v>
      </c>
      <c r="K110" s="2" t="s">
        <v>43</v>
      </c>
    </row>
    <row r="111" customFormat="false" ht="25.35" hidden="false" customHeight="false" outlineLevel="0" collapsed="false">
      <c r="A111" s="2" t="s">
        <v>479</v>
      </c>
      <c r="B111" s="2" t="s">
        <v>448</v>
      </c>
      <c r="C111" s="2" t="s">
        <v>480</v>
      </c>
      <c r="D111" s="2" t="s">
        <v>51</v>
      </c>
      <c r="E111" s="2" t="s">
        <v>456</v>
      </c>
      <c r="F111" s="2" t="s">
        <v>481</v>
      </c>
      <c r="G111" s="2" t="s">
        <v>482</v>
      </c>
      <c r="H111" s="12" t="s">
        <v>43</v>
      </c>
      <c r="I111" s="2" t="s">
        <v>43</v>
      </c>
      <c r="J111" s="2" t="s">
        <v>43</v>
      </c>
      <c r="K111" s="2" t="s">
        <v>43</v>
      </c>
    </row>
    <row r="112" customFormat="false" ht="25.35" hidden="false" customHeight="false" outlineLevel="0" collapsed="false">
      <c r="A112" s="2" t="s">
        <v>483</v>
      </c>
      <c r="B112" s="2" t="s">
        <v>448</v>
      </c>
      <c r="C112" s="2" t="s">
        <v>484</v>
      </c>
      <c r="D112" s="2" t="s">
        <v>39</v>
      </c>
      <c r="E112" s="2" t="s">
        <v>485</v>
      </c>
      <c r="F112" s="2" t="s">
        <v>486</v>
      </c>
      <c r="G112" s="2" t="s">
        <v>487</v>
      </c>
      <c r="H112" s="12" t="s">
        <v>43</v>
      </c>
      <c r="I112" s="2" t="s">
        <v>43</v>
      </c>
      <c r="J112" s="2" t="s">
        <v>43</v>
      </c>
      <c r="K112" s="2" t="s">
        <v>43</v>
      </c>
    </row>
    <row r="113" customFormat="false" ht="25.35" hidden="false" customHeight="false" outlineLevel="0" collapsed="false">
      <c r="A113" s="2" t="s">
        <v>488</v>
      </c>
      <c r="B113" s="2" t="s">
        <v>448</v>
      </c>
      <c r="C113" s="2" t="s">
        <v>489</v>
      </c>
      <c r="D113" s="2" t="s">
        <v>51</v>
      </c>
      <c r="E113" s="2" t="s">
        <v>490</v>
      </c>
      <c r="F113" s="2" t="s">
        <v>491</v>
      </c>
      <c r="G113" s="2" t="s">
        <v>492</v>
      </c>
      <c r="H113" s="12" t="s">
        <v>43</v>
      </c>
      <c r="I113" s="2" t="s">
        <v>43</v>
      </c>
      <c r="J113" s="2" t="s">
        <v>43</v>
      </c>
      <c r="K113" s="2" t="s">
        <v>43</v>
      </c>
    </row>
    <row r="114" customFormat="false" ht="35.8" hidden="false" customHeight="false" outlineLevel="0" collapsed="false">
      <c r="A114" s="2" t="s">
        <v>493</v>
      </c>
      <c r="B114" s="2" t="s">
        <v>448</v>
      </c>
      <c r="C114" s="2" t="s">
        <v>494</v>
      </c>
      <c r="D114" s="2" t="s">
        <v>39</v>
      </c>
      <c r="E114" s="2" t="s">
        <v>456</v>
      </c>
      <c r="F114" s="2" t="s">
        <v>495</v>
      </c>
      <c r="G114" s="2" t="s">
        <v>496</v>
      </c>
      <c r="H114" s="12" t="s">
        <v>43</v>
      </c>
      <c r="I114" s="2" t="s">
        <v>43</v>
      </c>
      <c r="J114" s="2" t="s">
        <v>43</v>
      </c>
      <c r="K114" s="2" t="s">
        <v>43</v>
      </c>
    </row>
    <row r="115" customFormat="false" ht="25.35" hidden="false" customHeight="false" outlineLevel="0" collapsed="false">
      <c r="A115" s="2" t="s">
        <v>497</v>
      </c>
      <c r="B115" s="2" t="s">
        <v>448</v>
      </c>
      <c r="C115" s="2" t="s">
        <v>498</v>
      </c>
      <c r="D115" s="2" t="s">
        <v>39</v>
      </c>
      <c r="E115" s="2" t="s">
        <v>499</v>
      </c>
      <c r="F115" s="2" t="s">
        <v>500</v>
      </c>
      <c r="G115" s="2" t="s">
        <v>501</v>
      </c>
      <c r="H115" s="12" t="s">
        <v>43</v>
      </c>
      <c r="I115" s="2" t="s">
        <v>43</v>
      </c>
      <c r="J115" s="2" t="s">
        <v>43</v>
      </c>
      <c r="K115" s="2" t="s">
        <v>43</v>
      </c>
    </row>
    <row r="116" customFormat="false" ht="14.55" hidden="false" customHeight="false" outlineLevel="0" collapsed="false">
      <c r="A116" s="11" t="s">
        <v>502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customFormat="false" ht="25.35" hidden="false" customHeight="false" outlineLevel="0" collapsed="false">
      <c r="A117" s="2" t="s">
        <v>503</v>
      </c>
      <c r="B117" s="2" t="s">
        <v>502</v>
      </c>
      <c r="C117" s="2" t="s">
        <v>504</v>
      </c>
      <c r="D117" s="2" t="s">
        <v>39</v>
      </c>
      <c r="E117" s="2" t="s">
        <v>505</v>
      </c>
      <c r="F117" s="2" t="s">
        <v>506</v>
      </c>
      <c r="G117" s="2" t="s">
        <v>507</v>
      </c>
      <c r="H117" s="12" t="s">
        <v>43</v>
      </c>
      <c r="I117" s="2" t="s">
        <v>43</v>
      </c>
      <c r="J117" s="2" t="s">
        <v>43</v>
      </c>
      <c r="K117" s="2" t="s">
        <v>43</v>
      </c>
    </row>
    <row r="118" customFormat="false" ht="25.35" hidden="false" customHeight="false" outlineLevel="0" collapsed="false">
      <c r="A118" s="2" t="s">
        <v>508</v>
      </c>
      <c r="B118" s="2" t="s">
        <v>502</v>
      </c>
      <c r="C118" s="2" t="s">
        <v>509</v>
      </c>
      <c r="D118" s="2" t="s">
        <v>39</v>
      </c>
      <c r="E118" s="2" t="s">
        <v>510</v>
      </c>
      <c r="F118" s="2" t="s">
        <v>506</v>
      </c>
      <c r="G118" s="2" t="s">
        <v>511</v>
      </c>
      <c r="H118" s="12" t="s">
        <v>43</v>
      </c>
      <c r="I118" s="2" t="s">
        <v>43</v>
      </c>
      <c r="J118" s="2" t="s">
        <v>43</v>
      </c>
      <c r="K118" s="2" t="s">
        <v>43</v>
      </c>
    </row>
    <row r="119" customFormat="false" ht="25.35" hidden="false" customHeight="false" outlineLevel="0" collapsed="false">
      <c r="A119" s="2" t="s">
        <v>512</v>
      </c>
      <c r="B119" s="2" t="s">
        <v>502</v>
      </c>
      <c r="C119" s="2" t="s">
        <v>513</v>
      </c>
      <c r="D119" s="2" t="s">
        <v>39</v>
      </c>
      <c r="E119" s="2" t="s">
        <v>514</v>
      </c>
      <c r="F119" s="2" t="s">
        <v>515</v>
      </c>
      <c r="G119" s="2" t="s">
        <v>516</v>
      </c>
      <c r="H119" s="12" t="s">
        <v>43</v>
      </c>
      <c r="I119" s="2" t="s">
        <v>43</v>
      </c>
      <c r="J119" s="2" t="s">
        <v>43</v>
      </c>
      <c r="K119" s="2" t="s">
        <v>43</v>
      </c>
    </row>
    <row r="120" customFormat="false" ht="25.35" hidden="false" customHeight="false" outlineLevel="0" collapsed="false">
      <c r="A120" s="2" t="s">
        <v>517</v>
      </c>
      <c r="B120" s="2" t="s">
        <v>502</v>
      </c>
      <c r="C120" s="2" t="s">
        <v>518</v>
      </c>
      <c r="D120" s="2" t="s">
        <v>51</v>
      </c>
      <c r="E120" s="2" t="s">
        <v>519</v>
      </c>
      <c r="F120" s="2" t="s">
        <v>520</v>
      </c>
      <c r="G120" s="2" t="s">
        <v>521</v>
      </c>
      <c r="H120" s="12" t="s">
        <v>43</v>
      </c>
      <c r="I120" s="2" t="s">
        <v>43</v>
      </c>
      <c r="J120" s="2" t="s">
        <v>43</v>
      </c>
      <c r="K120" s="2" t="s">
        <v>43</v>
      </c>
    </row>
    <row r="121" customFormat="false" ht="14.55" hidden="false" customHeight="false" outlineLevel="0" collapsed="false">
      <c r="A121" s="11" t="s">
        <v>522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customFormat="false" ht="35.8" hidden="false" customHeight="false" outlineLevel="0" collapsed="false">
      <c r="A122" s="2" t="s">
        <v>523</v>
      </c>
      <c r="B122" s="2" t="s">
        <v>522</v>
      </c>
      <c r="C122" s="2" t="s">
        <v>524</v>
      </c>
      <c r="D122" s="2" t="s">
        <v>51</v>
      </c>
      <c r="E122" s="2" t="s">
        <v>435</v>
      </c>
      <c r="F122" s="2" t="s">
        <v>525</v>
      </c>
      <c r="G122" s="2" t="s">
        <v>526</v>
      </c>
      <c r="H122" s="12" t="s">
        <v>43</v>
      </c>
      <c r="I122" s="2" t="s">
        <v>43</v>
      </c>
      <c r="J122" s="2" t="s">
        <v>43</v>
      </c>
      <c r="K122" s="2" t="s">
        <v>43</v>
      </c>
    </row>
    <row r="123" customFormat="false" ht="25.35" hidden="false" customHeight="false" outlineLevel="0" collapsed="false">
      <c r="A123" s="2" t="s">
        <v>527</v>
      </c>
      <c r="B123" s="2" t="s">
        <v>522</v>
      </c>
      <c r="C123" s="2" t="s">
        <v>528</v>
      </c>
      <c r="D123" s="2" t="s">
        <v>57</v>
      </c>
      <c r="E123" s="2" t="s">
        <v>529</v>
      </c>
      <c r="F123" s="2" t="s">
        <v>528</v>
      </c>
      <c r="G123" s="2" t="s">
        <v>530</v>
      </c>
      <c r="H123" s="12" t="s">
        <v>43</v>
      </c>
      <c r="I123" s="2" t="s">
        <v>43</v>
      </c>
      <c r="J123" s="2" t="s">
        <v>43</v>
      </c>
      <c r="K123" s="2" t="s">
        <v>43</v>
      </c>
    </row>
    <row r="124" customFormat="false" ht="14.55" hidden="false" customHeight="false" outlineLevel="0" collapsed="false">
      <c r="A124" s="11" t="s">
        <v>531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customFormat="false" ht="35.8" hidden="false" customHeight="false" outlineLevel="0" collapsed="false">
      <c r="A125" s="2" t="s">
        <v>532</v>
      </c>
      <c r="B125" s="2" t="s">
        <v>531</v>
      </c>
      <c r="C125" s="2" t="s">
        <v>533</v>
      </c>
      <c r="D125" s="2" t="s">
        <v>51</v>
      </c>
      <c r="E125" s="2" t="s">
        <v>534</v>
      </c>
      <c r="F125" s="2" t="s">
        <v>535</v>
      </c>
      <c r="G125" s="2" t="s">
        <v>536</v>
      </c>
      <c r="H125" s="12" t="s">
        <v>43</v>
      </c>
      <c r="I125" s="2" t="s">
        <v>43</v>
      </c>
      <c r="J125" s="2" t="s">
        <v>43</v>
      </c>
      <c r="K125" s="2" t="s">
        <v>43</v>
      </c>
    </row>
    <row r="126" customFormat="false" ht="25.35" hidden="false" customHeight="false" outlineLevel="0" collapsed="false">
      <c r="A126" s="2" t="s">
        <v>537</v>
      </c>
      <c r="B126" s="2" t="s">
        <v>531</v>
      </c>
      <c r="C126" s="2" t="s">
        <v>538</v>
      </c>
      <c r="D126" s="2" t="s">
        <v>51</v>
      </c>
      <c r="E126" s="2" t="s">
        <v>539</v>
      </c>
      <c r="F126" s="2" t="s">
        <v>540</v>
      </c>
      <c r="G126" s="2" t="s">
        <v>541</v>
      </c>
      <c r="H126" s="12" t="s">
        <v>43</v>
      </c>
      <c r="I126" s="2" t="s">
        <v>43</v>
      </c>
      <c r="J126" s="2" t="s">
        <v>43</v>
      </c>
      <c r="K126" s="2" t="s">
        <v>43</v>
      </c>
    </row>
    <row r="127" customFormat="false" ht="25.35" hidden="false" customHeight="false" outlineLevel="0" collapsed="false">
      <c r="A127" s="2" t="s">
        <v>542</v>
      </c>
      <c r="B127" s="2" t="s">
        <v>531</v>
      </c>
      <c r="C127" s="2" t="s">
        <v>543</v>
      </c>
      <c r="D127" s="2" t="s">
        <v>57</v>
      </c>
      <c r="E127" s="2" t="s">
        <v>544</v>
      </c>
      <c r="F127" s="2" t="s">
        <v>545</v>
      </c>
      <c r="G127" s="2" t="s">
        <v>546</v>
      </c>
      <c r="H127" s="12" t="s">
        <v>43</v>
      </c>
      <c r="I127" s="2" t="s">
        <v>43</v>
      </c>
      <c r="J127" s="2" t="s">
        <v>43</v>
      </c>
      <c r="K127" s="2" t="s">
        <v>43</v>
      </c>
    </row>
    <row r="128" customFormat="false" ht="25.35" hidden="false" customHeight="false" outlineLevel="0" collapsed="false">
      <c r="A128" s="2" t="s">
        <v>547</v>
      </c>
      <c r="B128" s="2" t="s">
        <v>531</v>
      </c>
      <c r="C128" s="2" t="s">
        <v>548</v>
      </c>
      <c r="D128" s="2" t="s">
        <v>57</v>
      </c>
      <c r="E128" s="2" t="s">
        <v>549</v>
      </c>
      <c r="F128" s="2" t="s">
        <v>550</v>
      </c>
      <c r="G128" s="2" t="s">
        <v>551</v>
      </c>
      <c r="H128" s="12" t="s">
        <v>43</v>
      </c>
      <c r="I128" s="2" t="s">
        <v>43</v>
      </c>
      <c r="J128" s="2" t="s">
        <v>43</v>
      </c>
      <c r="K128" s="2" t="s">
        <v>43</v>
      </c>
    </row>
    <row r="129" customFormat="false" ht="14.55" hidden="false" customHeight="false" outlineLevel="0" collapsed="false">
      <c r="A129" s="11" t="s">
        <v>552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customFormat="false" ht="25.35" hidden="false" customHeight="false" outlineLevel="0" collapsed="false">
      <c r="A130" s="2" t="s">
        <v>553</v>
      </c>
      <c r="B130" s="2" t="s">
        <v>552</v>
      </c>
      <c r="C130" s="2" t="s">
        <v>554</v>
      </c>
      <c r="D130" s="2" t="s">
        <v>39</v>
      </c>
      <c r="E130" s="2" t="s">
        <v>555</v>
      </c>
      <c r="F130" s="2" t="s">
        <v>556</v>
      </c>
      <c r="G130" s="2" t="s">
        <v>557</v>
      </c>
      <c r="H130" s="12" t="s">
        <v>43</v>
      </c>
      <c r="I130" s="2" t="s">
        <v>43</v>
      </c>
      <c r="J130" s="2" t="s">
        <v>43</v>
      </c>
      <c r="K130" s="2" t="s">
        <v>43</v>
      </c>
    </row>
    <row r="131" customFormat="false" ht="25.35" hidden="false" customHeight="false" outlineLevel="0" collapsed="false">
      <c r="A131" s="2" t="s">
        <v>558</v>
      </c>
      <c r="B131" s="2" t="s">
        <v>552</v>
      </c>
      <c r="C131" s="2" t="s">
        <v>559</v>
      </c>
      <c r="D131" s="2" t="s">
        <v>39</v>
      </c>
      <c r="E131" s="2" t="s">
        <v>560</v>
      </c>
      <c r="F131" s="2" t="s">
        <v>561</v>
      </c>
      <c r="G131" s="2" t="s">
        <v>562</v>
      </c>
      <c r="H131" s="12" t="s">
        <v>43</v>
      </c>
      <c r="I131" s="2" t="s">
        <v>43</v>
      </c>
      <c r="J131" s="2" t="s">
        <v>43</v>
      </c>
      <c r="K131" s="2" t="s">
        <v>43</v>
      </c>
    </row>
    <row r="132" customFormat="false" ht="14.55" hidden="false" customHeight="false" outlineLevel="0" collapsed="false">
      <c r="A132" s="11" t="s">
        <v>563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customFormat="false" ht="25.35" hidden="false" customHeight="false" outlineLevel="0" collapsed="false">
      <c r="A133" s="2" t="s">
        <v>564</v>
      </c>
      <c r="B133" s="2" t="s">
        <v>563</v>
      </c>
      <c r="C133" s="2" t="s">
        <v>565</v>
      </c>
      <c r="D133" s="2" t="s">
        <v>51</v>
      </c>
      <c r="E133" s="2" t="s">
        <v>566</v>
      </c>
      <c r="F133" s="2" t="s">
        <v>567</v>
      </c>
      <c r="G133" s="2" t="s">
        <v>568</v>
      </c>
      <c r="H133" s="12" t="s">
        <v>43</v>
      </c>
      <c r="I133" s="2" t="s">
        <v>43</v>
      </c>
      <c r="J133" s="2" t="s">
        <v>43</v>
      </c>
      <c r="K133" s="2" t="s">
        <v>43</v>
      </c>
    </row>
    <row r="134" customFormat="false" ht="14.55" hidden="false" customHeight="false" outlineLevel="0" collapsed="false">
      <c r="A134" s="11" t="s">
        <v>569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customFormat="false" ht="25.35" hidden="false" customHeight="false" outlineLevel="0" collapsed="false">
      <c r="A135" s="2" t="s">
        <v>570</v>
      </c>
      <c r="B135" s="2" t="s">
        <v>569</v>
      </c>
      <c r="C135" s="2" t="s">
        <v>571</v>
      </c>
      <c r="D135" s="2" t="s">
        <v>57</v>
      </c>
      <c r="E135" s="2" t="s">
        <v>572</v>
      </c>
      <c r="F135" s="2" t="s">
        <v>573</v>
      </c>
      <c r="G135" s="2" t="s">
        <v>574</v>
      </c>
      <c r="H135" s="12" t="s">
        <v>43</v>
      </c>
      <c r="I135" s="2" t="s">
        <v>43</v>
      </c>
      <c r="J135" s="2" t="s">
        <v>43</v>
      </c>
      <c r="K135" s="2" t="s">
        <v>43</v>
      </c>
    </row>
    <row r="136" customFormat="false" ht="25.35" hidden="false" customHeight="false" outlineLevel="0" collapsed="false">
      <c r="A136" s="2" t="s">
        <v>575</v>
      </c>
      <c r="B136" s="2" t="s">
        <v>569</v>
      </c>
      <c r="C136" s="2" t="s">
        <v>576</v>
      </c>
      <c r="D136" s="2" t="s">
        <v>57</v>
      </c>
      <c r="E136" s="2" t="s">
        <v>577</v>
      </c>
      <c r="F136" s="2" t="s">
        <v>578</v>
      </c>
      <c r="G136" s="2" t="s">
        <v>579</v>
      </c>
      <c r="H136" s="12" t="s">
        <v>43</v>
      </c>
      <c r="I136" s="2" t="s">
        <v>43</v>
      </c>
      <c r="J136" s="2" t="s">
        <v>43</v>
      </c>
      <c r="K136" s="2" t="s">
        <v>43</v>
      </c>
    </row>
    <row r="137" customFormat="false" ht="14.55" hidden="false" customHeight="false" outlineLevel="0" collapsed="false">
      <c r="A137" s="11" t="s">
        <v>580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customFormat="false" ht="46.25" hidden="false" customHeight="false" outlineLevel="0" collapsed="false">
      <c r="A138" s="2" t="s">
        <v>581</v>
      </c>
      <c r="B138" s="2" t="s">
        <v>580</v>
      </c>
      <c r="C138" s="2" t="s">
        <v>582</v>
      </c>
      <c r="D138" s="2" t="s">
        <v>51</v>
      </c>
      <c r="E138" s="2" t="s">
        <v>119</v>
      </c>
      <c r="F138" s="2" t="s">
        <v>583</v>
      </c>
      <c r="G138" s="2" t="s">
        <v>584</v>
      </c>
      <c r="H138" s="12" t="s">
        <v>43</v>
      </c>
      <c r="I138" s="2" t="s">
        <v>43</v>
      </c>
      <c r="J138" s="2" t="s">
        <v>43</v>
      </c>
      <c r="K138" s="2" t="s">
        <v>43</v>
      </c>
    </row>
    <row r="139" customFormat="false" ht="56.7" hidden="false" customHeight="false" outlineLevel="0" collapsed="false">
      <c r="A139" s="2" t="s">
        <v>585</v>
      </c>
      <c r="B139" s="2" t="s">
        <v>580</v>
      </c>
      <c r="C139" s="2" t="s">
        <v>586</v>
      </c>
      <c r="D139" s="2" t="s">
        <v>57</v>
      </c>
      <c r="E139" s="2" t="s">
        <v>587</v>
      </c>
      <c r="F139" s="2" t="s">
        <v>588</v>
      </c>
      <c r="G139" s="2" t="s">
        <v>589</v>
      </c>
      <c r="H139" s="12" t="s">
        <v>43</v>
      </c>
      <c r="I139" s="2" t="s">
        <v>43</v>
      </c>
      <c r="J139" s="2" t="s">
        <v>43</v>
      </c>
      <c r="K139" s="2" t="s">
        <v>43</v>
      </c>
    </row>
    <row r="140" customFormat="false" ht="14.55" hidden="false" customHeight="false" outlineLevel="0" collapsed="false">
      <c r="A140" s="11" t="s">
        <v>590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customFormat="false" ht="35.8" hidden="false" customHeight="false" outlineLevel="0" collapsed="false">
      <c r="A141" s="2" t="s">
        <v>591</v>
      </c>
      <c r="B141" s="2" t="s">
        <v>590</v>
      </c>
      <c r="C141" s="2" t="s">
        <v>592</v>
      </c>
      <c r="D141" s="2" t="s">
        <v>39</v>
      </c>
      <c r="E141" s="2" t="s">
        <v>593</v>
      </c>
      <c r="F141" s="2" t="s">
        <v>594</v>
      </c>
      <c r="G141" s="2" t="s">
        <v>595</v>
      </c>
      <c r="H141" s="12" t="s">
        <v>43</v>
      </c>
      <c r="I141" s="2" t="s">
        <v>43</v>
      </c>
      <c r="J141" s="2" t="s">
        <v>43</v>
      </c>
      <c r="K141" s="2" t="s">
        <v>43</v>
      </c>
    </row>
    <row r="142" customFormat="false" ht="25.35" hidden="false" customHeight="false" outlineLevel="0" collapsed="false">
      <c r="A142" s="2" t="s">
        <v>596</v>
      </c>
      <c r="B142" s="2" t="s">
        <v>590</v>
      </c>
      <c r="C142" s="2" t="s">
        <v>597</v>
      </c>
      <c r="D142" s="2" t="s">
        <v>39</v>
      </c>
      <c r="E142" s="2" t="s">
        <v>598</v>
      </c>
      <c r="F142" s="2" t="s">
        <v>599</v>
      </c>
      <c r="G142" s="2" t="s">
        <v>600</v>
      </c>
      <c r="H142" s="12" t="s">
        <v>43</v>
      </c>
      <c r="I142" s="2" t="s">
        <v>43</v>
      </c>
      <c r="J142" s="2" t="s">
        <v>43</v>
      </c>
      <c r="K142" s="2" t="s">
        <v>43</v>
      </c>
    </row>
    <row r="143" customFormat="false" ht="25.35" hidden="false" customHeight="false" outlineLevel="0" collapsed="false">
      <c r="A143" s="2" t="s">
        <v>601</v>
      </c>
      <c r="B143" s="2" t="s">
        <v>590</v>
      </c>
      <c r="C143" s="2" t="s">
        <v>602</v>
      </c>
      <c r="D143" s="2" t="s">
        <v>51</v>
      </c>
      <c r="E143" s="2" t="s">
        <v>603</v>
      </c>
      <c r="F143" s="2" t="s">
        <v>604</v>
      </c>
      <c r="G143" s="2" t="s">
        <v>605</v>
      </c>
      <c r="H143" s="12" t="s">
        <v>43</v>
      </c>
      <c r="I143" s="2" t="s">
        <v>43</v>
      </c>
      <c r="J143" s="2" t="s">
        <v>43</v>
      </c>
      <c r="K143" s="2" t="s">
        <v>43</v>
      </c>
    </row>
    <row r="144" customFormat="false" ht="56.7" hidden="false" customHeight="false" outlineLevel="0" collapsed="false">
      <c r="A144" s="2" t="s">
        <v>606</v>
      </c>
      <c r="B144" s="2" t="s">
        <v>590</v>
      </c>
      <c r="C144" s="2" t="s">
        <v>607</v>
      </c>
      <c r="D144" s="2" t="s">
        <v>51</v>
      </c>
      <c r="E144" s="2" t="s">
        <v>608</v>
      </c>
      <c r="F144" s="2" t="s">
        <v>609</v>
      </c>
      <c r="G144" s="2" t="s">
        <v>610</v>
      </c>
      <c r="H144" s="12" t="s">
        <v>43</v>
      </c>
      <c r="I144" s="2" t="s">
        <v>43</v>
      </c>
      <c r="J144" s="2" t="s">
        <v>43</v>
      </c>
      <c r="K144" s="2" t="s">
        <v>43</v>
      </c>
    </row>
    <row r="145" customFormat="false" ht="67.15" hidden="false" customHeight="false" outlineLevel="0" collapsed="false">
      <c r="A145" s="2" t="s">
        <v>611</v>
      </c>
      <c r="B145" s="2" t="s">
        <v>590</v>
      </c>
      <c r="C145" s="2" t="s">
        <v>612</v>
      </c>
      <c r="D145" s="2" t="s">
        <v>51</v>
      </c>
      <c r="E145" s="2" t="s">
        <v>613</v>
      </c>
      <c r="F145" s="2" t="s">
        <v>614</v>
      </c>
      <c r="G145" s="2" t="s">
        <v>615</v>
      </c>
      <c r="H145" s="12" t="s">
        <v>43</v>
      </c>
      <c r="I145" s="2" t="s">
        <v>43</v>
      </c>
      <c r="J145" s="2" t="s">
        <v>43</v>
      </c>
      <c r="K145" s="2" t="s">
        <v>43</v>
      </c>
    </row>
    <row r="146" customFormat="false" ht="35.8" hidden="false" customHeight="false" outlineLevel="0" collapsed="false">
      <c r="A146" s="2" t="s">
        <v>616</v>
      </c>
      <c r="B146" s="2" t="s">
        <v>590</v>
      </c>
      <c r="C146" s="2" t="s">
        <v>617</v>
      </c>
      <c r="D146" s="2" t="s">
        <v>57</v>
      </c>
      <c r="E146" s="2" t="s">
        <v>618</v>
      </c>
      <c r="F146" s="2" t="s">
        <v>619</v>
      </c>
      <c r="G146" s="2" t="s">
        <v>620</v>
      </c>
      <c r="H146" s="12" t="s">
        <v>43</v>
      </c>
      <c r="I146" s="2" t="s">
        <v>43</v>
      </c>
      <c r="J146" s="2" t="s">
        <v>43</v>
      </c>
      <c r="K146" s="2" t="s">
        <v>43</v>
      </c>
    </row>
    <row r="147" customFormat="false" ht="14.55" hidden="false" customHeight="false" outlineLevel="0" collapsed="false">
      <c r="A147" s="11" t="s">
        <v>621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customFormat="false" ht="35.8" hidden="false" customHeight="false" outlineLevel="0" collapsed="false">
      <c r="A148" s="2" t="s">
        <v>622</v>
      </c>
      <c r="B148" s="2" t="s">
        <v>621</v>
      </c>
      <c r="C148" s="2" t="s">
        <v>623</v>
      </c>
      <c r="D148" s="2" t="s">
        <v>51</v>
      </c>
      <c r="E148" s="2" t="s">
        <v>624</v>
      </c>
      <c r="F148" s="2" t="s">
        <v>625</v>
      </c>
      <c r="G148" s="2" t="s">
        <v>626</v>
      </c>
      <c r="H148" s="12" t="s">
        <v>43</v>
      </c>
      <c r="I148" s="2" t="s">
        <v>43</v>
      </c>
      <c r="J148" s="2" t="s">
        <v>43</v>
      </c>
      <c r="K148" s="2" t="s">
        <v>43</v>
      </c>
    </row>
    <row r="149" customFormat="false" ht="35.8" hidden="false" customHeight="false" outlineLevel="0" collapsed="false">
      <c r="A149" s="2" t="s">
        <v>627</v>
      </c>
      <c r="B149" s="2" t="s">
        <v>621</v>
      </c>
      <c r="C149" s="2" t="s">
        <v>628</v>
      </c>
      <c r="D149" s="2" t="s">
        <v>51</v>
      </c>
      <c r="E149" s="2" t="s">
        <v>629</v>
      </c>
      <c r="F149" s="2" t="s">
        <v>630</v>
      </c>
      <c r="G149" s="2" t="s">
        <v>631</v>
      </c>
      <c r="H149" s="12" t="s">
        <v>43</v>
      </c>
      <c r="I149" s="2" t="s">
        <v>43</v>
      </c>
      <c r="J149" s="2" t="s">
        <v>43</v>
      </c>
      <c r="K149" s="2" t="s">
        <v>43</v>
      </c>
    </row>
    <row r="150" customFormat="false" ht="35.8" hidden="false" customHeight="false" outlineLevel="0" collapsed="false">
      <c r="A150" s="2" t="s">
        <v>632</v>
      </c>
      <c r="B150" s="2" t="s">
        <v>621</v>
      </c>
      <c r="C150" s="2" t="s">
        <v>633</v>
      </c>
      <c r="D150" s="2" t="s">
        <v>51</v>
      </c>
      <c r="E150" s="2" t="s">
        <v>634</v>
      </c>
      <c r="F150" s="2" t="s">
        <v>635</v>
      </c>
      <c r="G150" s="2" t="s">
        <v>636</v>
      </c>
      <c r="H150" s="12" t="s">
        <v>43</v>
      </c>
      <c r="I150" s="2" t="s">
        <v>43</v>
      </c>
      <c r="J150" s="2" t="s">
        <v>43</v>
      </c>
      <c r="K150" s="2" t="s">
        <v>43</v>
      </c>
    </row>
    <row r="151" customFormat="false" ht="46.25" hidden="false" customHeight="false" outlineLevel="0" collapsed="false">
      <c r="A151" s="2" t="s">
        <v>637</v>
      </c>
      <c r="B151" s="2" t="s">
        <v>621</v>
      </c>
      <c r="C151" s="2" t="s">
        <v>638</v>
      </c>
      <c r="D151" s="2" t="s">
        <v>51</v>
      </c>
      <c r="E151" s="2" t="s">
        <v>639</v>
      </c>
      <c r="F151" s="2" t="s">
        <v>640</v>
      </c>
      <c r="G151" s="2" t="s">
        <v>641</v>
      </c>
      <c r="H151" s="12" t="s">
        <v>43</v>
      </c>
      <c r="I151" s="2" t="s">
        <v>43</v>
      </c>
      <c r="J151" s="2" t="s">
        <v>43</v>
      </c>
      <c r="K151" s="2" t="s">
        <v>43</v>
      </c>
    </row>
    <row r="152" customFormat="false" ht="25.35" hidden="false" customHeight="false" outlineLevel="0" collapsed="false">
      <c r="A152" s="2" t="s">
        <v>642</v>
      </c>
      <c r="B152" s="2" t="s">
        <v>621</v>
      </c>
      <c r="C152" s="2" t="s">
        <v>643</v>
      </c>
      <c r="D152" s="2" t="s">
        <v>57</v>
      </c>
      <c r="E152" s="2" t="s">
        <v>644</v>
      </c>
      <c r="F152" s="2" t="s">
        <v>645</v>
      </c>
      <c r="G152" s="2" t="s">
        <v>646</v>
      </c>
      <c r="H152" s="12" t="s">
        <v>43</v>
      </c>
      <c r="I152" s="2" t="s">
        <v>43</v>
      </c>
      <c r="J152" s="2" t="s">
        <v>43</v>
      </c>
      <c r="K152" s="2" t="s">
        <v>43</v>
      </c>
    </row>
    <row r="153" customFormat="false" ht="14.55" hidden="false" customHeight="false" outlineLevel="0" collapsed="false">
      <c r="A153" s="11" t="s">
        <v>647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customFormat="false" ht="46.25" hidden="false" customHeight="false" outlineLevel="0" collapsed="false">
      <c r="A154" s="2" t="s">
        <v>648</v>
      </c>
      <c r="B154" s="2" t="s">
        <v>647</v>
      </c>
      <c r="C154" s="2" t="s">
        <v>649</v>
      </c>
      <c r="D154" s="2" t="s">
        <v>51</v>
      </c>
      <c r="E154" s="2" t="s">
        <v>650</v>
      </c>
      <c r="F154" s="2" t="s">
        <v>651</v>
      </c>
      <c r="G154" s="2" t="s">
        <v>652</v>
      </c>
      <c r="H154" s="12" t="s">
        <v>43</v>
      </c>
      <c r="I154" s="2" t="s">
        <v>43</v>
      </c>
      <c r="J154" s="2" t="s">
        <v>43</v>
      </c>
      <c r="K154" s="2" t="s">
        <v>43</v>
      </c>
    </row>
    <row r="155" customFormat="false" ht="35.8" hidden="false" customHeight="false" outlineLevel="0" collapsed="false">
      <c r="A155" s="2" t="s">
        <v>653</v>
      </c>
      <c r="B155" s="2" t="s">
        <v>647</v>
      </c>
      <c r="C155" s="2" t="s">
        <v>654</v>
      </c>
      <c r="D155" s="2" t="s">
        <v>51</v>
      </c>
      <c r="E155" s="2" t="s">
        <v>655</v>
      </c>
      <c r="F155" s="2" t="s">
        <v>656</v>
      </c>
      <c r="G155" s="2" t="s">
        <v>657</v>
      </c>
      <c r="H155" s="12" t="s">
        <v>43</v>
      </c>
      <c r="I155" s="2" t="s">
        <v>43</v>
      </c>
      <c r="J155" s="2" t="s">
        <v>43</v>
      </c>
      <c r="K155" s="2" t="s">
        <v>43</v>
      </c>
    </row>
    <row r="156" customFormat="false" ht="25.35" hidden="false" customHeight="false" outlineLevel="0" collapsed="false">
      <c r="A156" s="2" t="s">
        <v>658</v>
      </c>
      <c r="B156" s="2" t="s">
        <v>647</v>
      </c>
      <c r="C156" s="2" t="s">
        <v>659</v>
      </c>
      <c r="D156" s="2" t="s">
        <v>57</v>
      </c>
      <c r="E156" s="2" t="s">
        <v>660</v>
      </c>
      <c r="F156" s="2" t="s">
        <v>661</v>
      </c>
      <c r="G156" s="2" t="s">
        <v>662</v>
      </c>
      <c r="H156" s="12" t="s">
        <v>43</v>
      </c>
      <c r="I156" s="2" t="s">
        <v>43</v>
      </c>
      <c r="J156" s="2" t="s">
        <v>43</v>
      </c>
      <c r="K156" s="2" t="s">
        <v>43</v>
      </c>
    </row>
    <row r="157" customFormat="false" ht="46.25" hidden="false" customHeight="false" outlineLevel="0" collapsed="false">
      <c r="A157" s="2" t="s">
        <v>663</v>
      </c>
      <c r="B157" s="2" t="s">
        <v>647</v>
      </c>
      <c r="C157" s="2" t="s">
        <v>664</v>
      </c>
      <c r="D157" s="2" t="s">
        <v>51</v>
      </c>
      <c r="E157" s="2" t="s">
        <v>665</v>
      </c>
      <c r="F157" s="2" t="s">
        <v>666</v>
      </c>
      <c r="G157" s="2" t="s">
        <v>667</v>
      </c>
      <c r="H157" s="12" t="s">
        <v>43</v>
      </c>
      <c r="I157" s="2" t="s">
        <v>43</v>
      </c>
      <c r="J157" s="2" t="s">
        <v>43</v>
      </c>
      <c r="K157" s="2" t="s">
        <v>43</v>
      </c>
    </row>
    <row r="158" customFormat="false" ht="25.35" hidden="false" customHeight="false" outlineLevel="0" collapsed="false">
      <c r="A158" s="2" t="s">
        <v>668</v>
      </c>
      <c r="B158" s="2" t="s">
        <v>647</v>
      </c>
      <c r="C158" s="2" t="s">
        <v>669</v>
      </c>
      <c r="D158" s="2" t="s">
        <v>57</v>
      </c>
      <c r="E158" s="2" t="s">
        <v>665</v>
      </c>
      <c r="F158" s="2" t="s">
        <v>670</v>
      </c>
      <c r="G158" s="2" t="s">
        <v>671</v>
      </c>
      <c r="H158" s="12" t="s">
        <v>43</v>
      </c>
      <c r="I158" s="2" t="s">
        <v>43</v>
      </c>
      <c r="J158" s="2" t="s">
        <v>43</v>
      </c>
      <c r="K158" s="2" t="s">
        <v>43</v>
      </c>
    </row>
    <row r="159" customFormat="false" ht="25.35" hidden="false" customHeight="false" outlineLevel="0" collapsed="false">
      <c r="A159" s="2" t="s">
        <v>672</v>
      </c>
      <c r="B159" s="2" t="s">
        <v>647</v>
      </c>
      <c r="C159" s="2" t="s">
        <v>673</v>
      </c>
      <c r="D159" s="2" t="s">
        <v>57</v>
      </c>
      <c r="E159" s="2" t="s">
        <v>674</v>
      </c>
      <c r="F159" s="2" t="s">
        <v>675</v>
      </c>
      <c r="G159" s="2" t="s">
        <v>676</v>
      </c>
      <c r="H159" s="12" t="s">
        <v>43</v>
      </c>
      <c r="I159" s="2" t="s">
        <v>43</v>
      </c>
      <c r="J159" s="2" t="s">
        <v>43</v>
      </c>
      <c r="K159" s="2" t="s">
        <v>43</v>
      </c>
    </row>
    <row r="160" customFormat="false" ht="14.55" hidden="false" customHeight="false" outlineLevel="0" collapsed="false">
      <c r="A160" s="11" t="s">
        <v>677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customFormat="false" ht="25.35" hidden="false" customHeight="false" outlineLevel="0" collapsed="false">
      <c r="A161" s="2" t="s">
        <v>678</v>
      </c>
      <c r="B161" s="2" t="s">
        <v>677</v>
      </c>
      <c r="C161" s="2" t="s">
        <v>679</v>
      </c>
      <c r="D161" s="2" t="s">
        <v>51</v>
      </c>
      <c r="E161" s="2" t="s">
        <v>680</v>
      </c>
      <c r="F161" s="2" t="s">
        <v>681</v>
      </c>
      <c r="G161" s="2" t="s">
        <v>682</v>
      </c>
      <c r="H161" s="12" t="s">
        <v>43</v>
      </c>
      <c r="I161" s="2" t="s">
        <v>43</v>
      </c>
      <c r="J161" s="2" t="s">
        <v>43</v>
      </c>
      <c r="K161" s="2" t="s">
        <v>43</v>
      </c>
    </row>
    <row r="162" customFormat="false" ht="14.9" hidden="false" customHeight="false" outlineLevel="0" collapsed="false">
      <c r="A162" s="2" t="s">
        <v>683</v>
      </c>
      <c r="B162" s="2" t="s">
        <v>677</v>
      </c>
      <c r="C162" s="2" t="s">
        <v>684</v>
      </c>
      <c r="D162" s="2" t="s">
        <v>57</v>
      </c>
      <c r="E162" s="2" t="s">
        <v>685</v>
      </c>
      <c r="F162" s="2" t="s">
        <v>686</v>
      </c>
      <c r="G162" s="2" t="s">
        <v>687</v>
      </c>
      <c r="H162" s="12" t="s">
        <v>43</v>
      </c>
      <c r="I162" s="2" t="s">
        <v>43</v>
      </c>
      <c r="J162" s="2" t="s">
        <v>43</v>
      </c>
      <c r="K162" s="2" t="s">
        <v>43</v>
      </c>
    </row>
    <row r="163" customFormat="false" ht="25.35" hidden="false" customHeight="false" outlineLevel="0" collapsed="false">
      <c r="A163" s="2" t="s">
        <v>688</v>
      </c>
      <c r="B163" s="2" t="s">
        <v>677</v>
      </c>
      <c r="C163" s="2" t="s">
        <v>689</v>
      </c>
      <c r="D163" s="2" t="s">
        <v>51</v>
      </c>
      <c r="E163" s="2" t="s">
        <v>690</v>
      </c>
      <c r="F163" s="2" t="s">
        <v>691</v>
      </c>
      <c r="G163" s="2" t="s">
        <v>692</v>
      </c>
      <c r="H163" s="12" t="s">
        <v>43</v>
      </c>
      <c r="I163" s="2" t="s">
        <v>43</v>
      </c>
      <c r="J163" s="2" t="s">
        <v>43</v>
      </c>
      <c r="K163" s="2" t="s">
        <v>43</v>
      </c>
    </row>
    <row r="164" customFormat="false" ht="25.35" hidden="false" customHeight="false" outlineLevel="0" collapsed="false">
      <c r="A164" s="2" t="s">
        <v>693</v>
      </c>
      <c r="B164" s="2" t="s">
        <v>677</v>
      </c>
      <c r="C164" s="2" t="s">
        <v>694</v>
      </c>
      <c r="D164" s="2" t="s">
        <v>57</v>
      </c>
      <c r="E164" s="2" t="s">
        <v>695</v>
      </c>
      <c r="F164" s="2" t="s">
        <v>696</v>
      </c>
      <c r="G164" s="2" t="s">
        <v>697</v>
      </c>
      <c r="H164" s="12" t="s">
        <v>43</v>
      </c>
      <c r="I164" s="2" t="s">
        <v>43</v>
      </c>
      <c r="J164" s="2" t="s">
        <v>43</v>
      </c>
      <c r="K164" s="2" t="s">
        <v>43</v>
      </c>
    </row>
  </sheetData>
  <mergeCells count="32">
    <mergeCell ref="A1:K1"/>
    <mergeCell ref="A3:K3"/>
    <mergeCell ref="A8:K8"/>
    <mergeCell ref="A14:K14"/>
    <mergeCell ref="A21:K21"/>
    <mergeCell ref="A27:K27"/>
    <mergeCell ref="A31:K31"/>
    <mergeCell ref="A33:K33"/>
    <mergeCell ref="A36:K36"/>
    <mergeCell ref="A41:K41"/>
    <mergeCell ref="A45:K45"/>
    <mergeCell ref="A56:K56"/>
    <mergeCell ref="A64:K64"/>
    <mergeCell ref="A70:K70"/>
    <mergeCell ref="A72:K72"/>
    <mergeCell ref="A77:K77"/>
    <mergeCell ref="A81:K81"/>
    <mergeCell ref="A84:K84"/>
    <mergeCell ref="A89:K89"/>
    <mergeCell ref="A95:K95"/>
    <mergeCell ref="A103:K103"/>
    <mergeCell ref="A116:K116"/>
    <mergeCell ref="A121:K121"/>
    <mergeCell ref="A124:K124"/>
    <mergeCell ref="A129:K129"/>
    <mergeCell ref="A132:K132"/>
    <mergeCell ref="A134:K134"/>
    <mergeCell ref="A137:K137"/>
    <mergeCell ref="A140:K140"/>
    <mergeCell ref="A147:K147"/>
    <mergeCell ref="A153:K153"/>
    <mergeCell ref="A160:K160"/>
  </mergeCells>
  <conditionalFormatting sqref="H3:H400">
    <cfRule type="cellIs" priority="2" aboveAverage="0" equalAverage="0" bottom="0" percent="0" rank="0" text="" dxfId="0">
      <formula>0</formula>
    </cfRule>
    <cfRule type="cellIs" priority="3" aboveAverage="0" equalAverage="0" bottom="0" percent="0" rank="0" text="" dxfId="0">
      <formula>0</formula>
    </cfRule>
    <cfRule type="cellIs" priority="4" aboveAverage="0" equalAverage="0" bottom="0" percent="0" rank="0" text="" dxfId="0">
      <formula>0</formula>
    </cfRule>
    <cfRule type="cellIs" priority="5" aboveAverage="0" equalAverage="0" bottom="0" percent="0" rank="0" text="" dxfId="0">
      <formula>0</formula>
    </cfRule>
  </conditionalFormatting>
  <dataValidations count="1">
    <dataValidation allowBlank="true" errorStyle="stop" operator="equal" prompt="Choose Pass / Fail / Partial / N/A / Not run" promptTitle="Result" showDropDown="false" showErrorMessage="false" showInputMessage="false" sqref="H4:H7 H9:H13 H15:H20 H22:H26 H28:H30 H32 H34:H35 H37:H40 H42:H44 H46:H55 H57:H63 H65:H69 H71 H73:H76 H78:H80 H82:H83 H85:H88 H90:H94 H96:H102 H104:H115 H117:H120 H122:H123 H125:H128 H130:H131 H133 H135:H136 H138:H139 H141:H146 H148:H152 H154:H159 H161:H16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8.17"/>
  </cols>
  <sheetData>
    <row r="1" customFormat="false" ht="17.35" hidden="false" customHeight="false" outlineLevel="0" collapsed="false">
      <c r="A1" s="1" t="s">
        <v>698</v>
      </c>
      <c r="B1" s="1"/>
    </row>
    <row r="2" customFormat="false" ht="13.8" hidden="false" customHeight="false" outlineLevel="0" collapsed="false">
      <c r="A2" s="3" t="s">
        <v>699</v>
      </c>
      <c r="B2" s="3"/>
    </row>
    <row r="3" customFormat="false" ht="14.9" hidden="false" customHeight="false" outlineLevel="0" collapsed="false">
      <c r="A3" s="4" t="s">
        <v>3</v>
      </c>
      <c r="B3" s="2" t="e">
        <f aca="false">of:=COUNTIF('Test Cases'!H3:H400,"Pass")</f>
        <v>#VALUE!</v>
      </c>
    </row>
    <row r="4" customFormat="false" ht="14.9" hidden="false" customHeight="false" outlineLevel="0" collapsed="false">
      <c r="A4" s="5" t="s">
        <v>5</v>
      </c>
      <c r="B4" s="2" t="e">
        <f aca="false">of:=COUNTIF('Test Cases'!H3:H400,"Fail")</f>
        <v>#VALUE!</v>
      </c>
    </row>
    <row r="5" customFormat="false" ht="14.9" hidden="false" customHeight="false" outlineLevel="0" collapsed="false">
      <c r="A5" s="6" t="s">
        <v>7</v>
      </c>
      <c r="B5" s="2" t="e">
        <f aca="false">of:=COUNTIF('Test Cases'!H3:H400,"Partial")</f>
        <v>#VALUE!</v>
      </c>
    </row>
    <row r="6" customFormat="false" ht="14.9" hidden="false" customHeight="false" outlineLevel="0" collapsed="false">
      <c r="A6" s="7" t="s">
        <v>9</v>
      </c>
      <c r="B6" s="2" t="e">
        <f aca="false">of:=COUNTIF('Test Cases'!H3:H400,"N/A")</f>
        <v>#VALUE!</v>
      </c>
    </row>
    <row r="7" customFormat="false" ht="14.9" hidden="false" customHeight="false" outlineLevel="0" collapsed="false">
      <c r="A7" s="2" t="s">
        <v>11</v>
      </c>
      <c r="B7" s="2" t="e">
        <f aca="false">of:=COUNTIF('Test Cases'!H3:H400,"Not run")</f>
        <v>#VALUE!</v>
      </c>
    </row>
    <row r="8" customFormat="false" ht="14.9" hidden="false" customHeight="false" outlineLevel="0" collapsed="false">
      <c r="A8" s="8" t="s">
        <v>700</v>
      </c>
      <c r="B8" s="2" t="e">
        <f aca="false">of:=COUNTA('Test Cases'!A3:A400)-COUNTIF('Test Cases'!D3:D400,"")</f>
        <v>#VALUE!</v>
      </c>
    </row>
    <row r="9" customFormat="false" ht="13.8" hidden="false" customHeight="false" outlineLevel="0" collapsed="false">
      <c r="A9" s="3" t="s">
        <v>701</v>
      </c>
      <c r="B9" s="3"/>
    </row>
    <row r="10" customFormat="false" ht="14.9" hidden="false" customHeight="false" outlineLevel="0" collapsed="false">
      <c r="A10" s="8" t="s">
        <v>36</v>
      </c>
      <c r="B10" s="2" t="e">
        <f aca="false">of:=COUNTIFS('Test Cases'!B3:B400,"Install &amp; load",'Test Cases'!H3:H400,"Pass")</f>
        <v>#VALUE!</v>
      </c>
    </row>
    <row r="11" customFormat="false" ht="14.9" hidden="false" customHeight="false" outlineLevel="0" collapsed="false">
      <c r="A11" s="8" t="s">
        <v>61</v>
      </c>
      <c r="B11" s="2" t="e">
        <f aca="false">of:=COUNTIFS('Test Cases'!B3:B400,"Popup — connection",'Test Cases'!H3:H400,"Pass")</f>
        <v>#VALUE!</v>
      </c>
    </row>
    <row r="12" customFormat="false" ht="14.9" hidden="false" customHeight="false" outlineLevel="0" collapsed="false">
      <c r="A12" s="8" t="s">
        <v>86</v>
      </c>
      <c r="B12" s="2" t="e">
        <f aca="false">of:=COUNTIFS('Test Cases'!B3:B400,"Quick Insert",'Test Cases'!H3:H400,"Pass")</f>
        <v>#VALUE!</v>
      </c>
    </row>
    <row r="13" customFormat="false" ht="14.9" hidden="false" customHeight="false" outlineLevel="0" collapsed="false">
      <c r="A13" s="8" t="s">
        <v>116</v>
      </c>
      <c r="B13" s="2" t="e">
        <f aca="false">of:=COUNTIFS('Test Cases'!B3:B400,"Core toggles",'Test Cases'!H3:H400,"Pass")</f>
        <v>#VALUE!</v>
      </c>
    </row>
    <row r="14" customFormat="false" ht="14.9" hidden="false" customHeight="false" outlineLevel="0" collapsed="false">
      <c r="A14" s="8" t="s">
        <v>140</v>
      </c>
      <c r="B14" s="2" t="e">
        <f aca="false">of:=COUNTIFS('Test Cases'!B3:B400,"Columns",'Test Cases'!H3:H400,"Pass")</f>
        <v>#VALUE!</v>
      </c>
    </row>
    <row r="15" customFormat="false" ht="14.9" hidden="false" customHeight="false" outlineLevel="0" collapsed="false">
      <c r="A15" s="8" t="s">
        <v>156</v>
      </c>
      <c r="B15" s="2" t="e">
        <f aca="false">of:=COUNTIFS('Test Cases'!B3:B400,"Process mappings",'Test Cases'!H3:H400,"Pass")</f>
        <v>#VALUE!</v>
      </c>
    </row>
    <row r="16" customFormat="false" ht="14.9" hidden="false" customHeight="false" outlineLevel="0" collapsed="false">
      <c r="A16" s="8" t="s">
        <v>162</v>
      </c>
      <c r="B16" s="2" t="e">
        <f aca="false">of:=COUNTIFS('Test Cases'!B3:B400,"Template upload",'Test Cases'!H3:H400,"Pass")</f>
        <v>#VALUE!</v>
      </c>
    </row>
    <row r="17" customFormat="false" ht="14.9" hidden="false" customHeight="false" outlineLevel="0" collapsed="false">
      <c r="A17" s="8" t="s">
        <v>173</v>
      </c>
      <c r="B17" s="2" t="e">
        <f aca="false">of:=COUNTIFS('Test Cases'!B3:B400,"Theme",'Test Cases'!H3:H400,"Pass")</f>
        <v>#VALUE!</v>
      </c>
    </row>
    <row r="18" customFormat="false" ht="14.9" hidden="false" customHeight="false" outlineLevel="0" collapsed="false">
      <c r="A18" s="8" t="s">
        <v>193</v>
      </c>
      <c r="B18" s="2" t="e">
        <f aca="false">of:=COUNTIFS('Test Cases'!B3:B400,"Banners",'Test Cases'!H3:H400,"Pass")</f>
        <v>#VALUE!</v>
      </c>
    </row>
    <row r="19" customFormat="false" ht="14.9" hidden="false" customHeight="false" outlineLevel="0" collapsed="false">
      <c r="A19" s="8" t="s">
        <v>206</v>
      </c>
      <c r="B19" s="2" t="e">
        <f aca="false">of:=COUNTIFS('Test Cases'!B3:B400,"Right-click",'Test Cases'!H3:H400,"Pass")</f>
        <v>#VALUE!</v>
      </c>
    </row>
    <row r="20" customFormat="false" ht="14.9" hidden="false" customHeight="false" outlineLevel="0" collapsed="false">
      <c r="A20" s="8" t="s">
        <v>255</v>
      </c>
      <c r="B20" s="2" t="e">
        <f aca="false">of:=COUNTIFS('Test Cases'!B3:B400,"Templates",'Test Cases'!H3:H400,"Pass")</f>
        <v>#VALUE!</v>
      </c>
    </row>
    <row r="21" customFormat="false" ht="14.9" hidden="false" customHeight="false" outlineLevel="0" collapsed="false">
      <c r="A21" s="8" t="s">
        <v>290</v>
      </c>
      <c r="B21" s="2" t="e">
        <f aca="false">of:=COUNTIFS('Test Cases'!B3:B400,"Rich-text insert",'Test Cases'!H3:H400,"Pass")</f>
        <v>#VALUE!</v>
      </c>
    </row>
    <row r="22" customFormat="false" ht="14.9" hidden="false" customHeight="false" outlineLevel="0" collapsed="false">
      <c r="A22" s="8" t="s">
        <v>313</v>
      </c>
      <c r="B22" s="2" t="e">
        <f aca="false">of:=COUNTIFS('Test Cases'!B3:B400,"Notes format",'Test Cases'!H3:H400,"Pass")</f>
        <v>#VALUE!</v>
      </c>
    </row>
    <row r="23" customFormat="false" ht="14.9" hidden="false" customHeight="false" outlineLevel="0" collapsed="false">
      <c r="A23" s="8" t="s">
        <v>319</v>
      </c>
      <c r="B23" s="2" t="e">
        <f aca="false">of:=COUNTIFS('Test Cases'!B3:B400,"Navigation",'Test Cases'!H3:H400,"Pass")</f>
        <v>#VALUE!</v>
      </c>
    </row>
    <row r="24" customFormat="false" ht="14.9" hidden="false" customHeight="false" outlineLevel="0" collapsed="false">
      <c r="A24" s="8" t="s">
        <v>340</v>
      </c>
      <c r="B24" s="2" t="e">
        <f aca="false">of:=COUNTIFS('Test Cases'!B3:B400,"Case alias",'Test Cases'!H3:H400,"Pass")</f>
        <v>#VALUE!</v>
      </c>
    </row>
    <row r="25" customFormat="false" ht="14.9" hidden="false" customHeight="false" outlineLevel="0" collapsed="false">
      <c r="A25" s="8" t="s">
        <v>356</v>
      </c>
      <c r="B25" s="2" t="e">
        <f aca="false">of:=COUNTIFS('Test Cases'!B3:B400,"Photo download",'Test Cases'!H3:H400,"Pass")</f>
        <v>#VALUE!</v>
      </c>
    </row>
    <row r="26" customFormat="false" ht="14.9" hidden="false" customHeight="false" outlineLevel="0" collapsed="false">
      <c r="A26" s="8" t="s">
        <v>367</v>
      </c>
      <c r="B26" s="2" t="e">
        <f aca="false">of:=COUNTIFS('Test Cases'!B3:B400,"Case report",'Test Cases'!H3:H400,"Pass")</f>
        <v>#VALUE!</v>
      </c>
    </row>
    <row r="27" customFormat="false" ht="14.9" hidden="false" customHeight="false" outlineLevel="0" collapsed="false">
      <c r="A27" s="8" t="s">
        <v>388</v>
      </c>
      <c r="B27" s="2" t="e">
        <f aca="false">of:=COUNTIFS('Test Cases'!B3:B400,"Manager",'Test Cases'!H3:H400,"Pass")</f>
        <v>#VALUE!</v>
      </c>
    </row>
    <row r="28" customFormat="false" ht="14.9" hidden="false" customHeight="false" outlineLevel="0" collapsed="false">
      <c r="A28" s="8" t="s">
        <v>414</v>
      </c>
      <c r="B28" s="2" t="e">
        <f aca="false">of:=COUNTIFS('Test Cases'!B3:B400,"Manager edit",'Test Cases'!H3:H400,"Pass")</f>
        <v>#VALUE!</v>
      </c>
    </row>
    <row r="29" customFormat="false" ht="14.9" hidden="false" customHeight="false" outlineLevel="0" collapsed="false">
      <c r="A29" s="8" t="s">
        <v>448</v>
      </c>
      <c r="B29" s="2" t="e">
        <f aca="false">of:=COUNTIFS('Test Cases'!B3:B400,"RTE editor",'Test Cases'!H3:H400,"Pass")</f>
        <v>#VALUE!</v>
      </c>
    </row>
    <row r="30" customFormat="false" ht="14.9" hidden="false" customHeight="false" outlineLevel="0" collapsed="false">
      <c r="A30" s="8" t="s">
        <v>502</v>
      </c>
      <c r="B30" s="2" t="e">
        <f aca="false">of:=COUNTIFS('Test Cases'!B3:B400,"Teams",'Test Cases'!H3:H400,"Pass")</f>
        <v>#VALUE!</v>
      </c>
    </row>
    <row r="31" customFormat="false" ht="14.9" hidden="false" customHeight="false" outlineLevel="0" collapsed="false">
      <c r="A31" s="8" t="s">
        <v>522</v>
      </c>
      <c r="B31" s="2" t="e">
        <f aca="false">of:=COUNTIFS('Test Cases'!B3:B400,"History",'Test Cases'!H3:H400,"Pass")</f>
        <v>#VALUE!</v>
      </c>
    </row>
    <row r="32" customFormat="false" ht="14.9" hidden="false" customHeight="false" outlineLevel="0" collapsed="false">
      <c r="A32" s="8" t="s">
        <v>531</v>
      </c>
      <c r="B32" s="2" t="e">
        <f aca="false">of:=COUNTIFS('Test Cases'!B3:B400,"Usage",'Test Cases'!H3:H400,"Pass")</f>
        <v>#VALUE!</v>
      </c>
    </row>
    <row r="33" customFormat="false" ht="14.9" hidden="false" customHeight="false" outlineLevel="0" collapsed="false">
      <c r="A33" s="8" t="s">
        <v>552</v>
      </c>
      <c r="B33" s="2" t="e">
        <f aca="false">of:=COUNTIFS('Test Cases'!B3:B400,"Read-only",'Test Cases'!H3:H400,"Pass")</f>
        <v>#VALUE!</v>
      </c>
    </row>
    <row r="34" customFormat="false" ht="14.9" hidden="false" customHeight="false" outlineLevel="0" collapsed="false">
      <c r="A34" s="8" t="s">
        <v>563</v>
      </c>
      <c r="B34" s="2" t="e">
        <f aca="false">of:=COUNTIFS('Test Cases'!B3:B400,"Dark mode",'Test Cases'!H3:H400,"Pass")</f>
        <v>#VALUE!</v>
      </c>
    </row>
    <row r="35" customFormat="false" ht="14.9" hidden="false" customHeight="false" outlineLevel="0" collapsed="false">
      <c r="A35" s="8" t="s">
        <v>569</v>
      </c>
      <c r="B35" s="2" t="e">
        <f aca="false">of:=COUNTIFS('Test Cases'!B3:B400,"Background",'Test Cases'!H3:H400,"Pass")</f>
        <v>#VALUE!</v>
      </c>
    </row>
    <row r="36" customFormat="false" ht="14.9" hidden="false" customHeight="false" outlineLevel="0" collapsed="false">
      <c r="A36" s="8" t="s">
        <v>580</v>
      </c>
      <c r="B36" s="2" t="e">
        <f aca="false">of:=COUNTIFS('Test Cases'!B3:B400,"Diagnostics",'Test Cases'!H3:H400,"Pass")</f>
        <v>#VALUE!</v>
      </c>
    </row>
    <row r="37" customFormat="false" ht="14.9" hidden="false" customHeight="false" outlineLevel="0" collapsed="false">
      <c r="A37" s="8" t="s">
        <v>590</v>
      </c>
      <c r="B37" s="2" t="e">
        <f aca="false">of:=COUNTIFS('Test Cases'!B3:B400,"Security",'Test Cases'!H3:H400,"Pass")</f>
        <v>#VALUE!</v>
      </c>
    </row>
    <row r="38" customFormat="false" ht="14.9" hidden="false" customHeight="false" outlineLevel="0" collapsed="false">
      <c r="A38" s="8" t="s">
        <v>621</v>
      </c>
      <c r="B38" s="2" t="e">
        <f aca="false">of:=COUNTIFS('Test Cases'!B3:B400,"Acknowledgements",'Test Cases'!H3:H400,"Pass")</f>
        <v>#VALUE!</v>
      </c>
    </row>
    <row r="39" customFormat="false" ht="14.9" hidden="false" customHeight="false" outlineLevel="0" collapsed="false">
      <c r="A39" s="8" t="s">
        <v>647</v>
      </c>
      <c r="B39" s="2" t="e">
        <f aca="false">of:=COUNTIFS('Test Cases'!B3:B400,"Suggestions",'Test Cases'!H3:H400,"Pass")</f>
        <v>#VALUE!</v>
      </c>
    </row>
    <row r="40" customFormat="false" ht="14.9" hidden="false" customHeight="false" outlineLevel="0" collapsed="false">
      <c r="A40" s="8" t="s">
        <v>677</v>
      </c>
      <c r="B40" s="2" t="e">
        <f aca="false">of:=COUNTIFS('Test Cases'!B3:B400,"UX",'Test Cases'!H3:H400,"Pass")</f>
        <v>#VALUE!</v>
      </c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81.72"/>
  </cols>
  <sheetData>
    <row r="1" customFormat="false" ht="17.35" hidden="false" customHeight="false" outlineLevel="0" collapsed="false">
      <c r="A1" s="1" t="s">
        <v>702</v>
      </c>
      <c r="B1" s="1"/>
    </row>
    <row r="2" customFormat="false" ht="35.8" hidden="false" customHeight="false" outlineLevel="0" collapsed="false">
      <c r="A2" s="8" t="s">
        <v>703</v>
      </c>
      <c r="B2" s="2" t="s">
        <v>704</v>
      </c>
    </row>
    <row r="3" customFormat="false" ht="25.35" hidden="false" customHeight="false" outlineLevel="0" collapsed="false">
      <c r="A3" s="8" t="s">
        <v>705</v>
      </c>
      <c r="B3" s="2" t="s">
        <v>706</v>
      </c>
    </row>
    <row r="4" customFormat="false" ht="14.9" hidden="false" customHeight="false" outlineLevel="0" collapsed="false">
      <c r="A4" s="8" t="s">
        <v>707</v>
      </c>
      <c r="B4" s="2" t="s">
        <v>708</v>
      </c>
    </row>
    <row r="5" customFormat="false" ht="14.9" hidden="false" customHeight="false" outlineLevel="0" collapsed="false">
      <c r="A5" s="8" t="s">
        <v>709</v>
      </c>
      <c r="B5" s="2" t="s">
        <v>710</v>
      </c>
    </row>
    <row r="6" customFormat="false" ht="25.35" hidden="false" customHeight="false" outlineLevel="0" collapsed="false">
      <c r="A6" s="8" t="s">
        <v>711</v>
      </c>
      <c r="B6" s="2" t="s">
        <v>712</v>
      </c>
    </row>
    <row r="7" customFormat="false" ht="14.9" hidden="false" customHeight="false" outlineLevel="0" collapsed="false">
      <c r="A7" s="8" t="s">
        <v>713</v>
      </c>
      <c r="B7" s="2" t="s">
        <v>714</v>
      </c>
    </row>
    <row r="8" customFormat="false" ht="25.35" hidden="false" customHeight="false" outlineLevel="0" collapsed="false">
      <c r="A8" s="8" t="s">
        <v>715</v>
      </c>
      <c r="B8" s="2" t="s">
        <v>716</v>
      </c>
    </row>
    <row r="9" customFormat="false" ht="25.35" hidden="false" customHeight="false" outlineLevel="0" collapsed="false">
      <c r="A9" s="8" t="s">
        <v>717</v>
      </c>
      <c r="B9" s="2" t="s">
        <v>718</v>
      </c>
    </row>
    <row r="10" customFormat="false" ht="14.9" hidden="false" customHeight="false" outlineLevel="0" collapsed="false">
      <c r="A10" s="8" t="s">
        <v>719</v>
      </c>
      <c r="B10" s="2" t="s">
        <v>720</v>
      </c>
    </row>
    <row r="11" customFormat="false" ht="14.9" hidden="false" customHeight="false" outlineLevel="0" collapsed="false">
      <c r="A11" s="8" t="s">
        <v>721</v>
      </c>
      <c r="B11" s="2" t="s">
        <v>722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