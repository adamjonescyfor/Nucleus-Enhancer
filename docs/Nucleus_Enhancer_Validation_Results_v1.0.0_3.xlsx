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.jones\Downloads\"/>
    </mc:Choice>
  </mc:AlternateContent>
  <xr:revisionPtr revIDLastSave="0" documentId="13_ncr:1_{112AD24F-2A73-4531-9CD3-EEFBF3EBACAE}" xr6:coauthVersionLast="47" xr6:coauthVersionMax="47" xr10:uidLastSave="{00000000-0000-0000-0000-000000000000}"/>
  <bookViews>
    <workbookView xWindow="38280" yWindow="3075" windowWidth="29040" windowHeight="15720" activeTab="2" xr2:uid="{00000000-000D-0000-FFFF-FFFF00000000}"/>
  </bookViews>
  <sheets>
    <sheet name="Instructions" sheetId="1" r:id="rId1"/>
    <sheet name="Test Cases" sheetId="2" r:id="rId2"/>
    <sheet name="Summary" sheetId="3" r:id="rId3"/>
    <sheet name="Diagnostics" sheetId="4" r:id="rId4"/>
  </sheets>
  <definedNames>
    <definedName name="_xlnm._FilterDatabase" localSheetId="1" hidden="1">'Test Cases'!$A$1:$K$175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B7" i="3" l="1"/>
</calcChain>
</file>

<file path=xl/sharedStrings.xml><?xml version="1.0" encoding="utf-8"?>
<sst xmlns="http://schemas.openxmlformats.org/spreadsheetml/2006/main" count="1426" uniqueCount="788">
  <si>
    <t>How to use this workbook</t>
  </si>
  <si>
    <t>Work through the 'Test Cases' sheet top to bottom. For each row set the Result cell (dropdown: Pass / Fail / Partial / N/A / Not run), and record what you saw in 'Actual / notes', plus your initials and the date.
There are 141 cases across all feature areas.
This is an internal self-check, not a formal/Quality validation. Use the Diagnostics sheet (or docs/Nucleus_Enhancer_Diagnostics.md) to capture detail when something misbehaves.</t>
  </si>
  <si>
    <t>Result colour key</t>
  </si>
  <si>
    <t>Pass</t>
  </si>
  <si>
    <t>Works as expected</t>
  </si>
  <si>
    <t>Fail</t>
  </si>
  <si>
    <t>Does not meet the expected result</t>
  </si>
  <si>
    <t>Partial</t>
  </si>
  <si>
    <t>Mostly works; note the caveat</t>
  </si>
  <si>
    <t>N/A</t>
  </si>
  <si>
    <t>Not applicable in this environment</t>
  </si>
  <si>
    <t>Not run</t>
  </si>
  <si>
    <t>Not yet tested</t>
  </si>
  <si>
    <t>Environment (record actuals)</t>
  </si>
  <si>
    <t>Browser + version</t>
  </si>
  <si>
    <t>Edge</t>
  </si>
  <si>
    <t>OS</t>
  </si>
  <si>
    <t>Windows</t>
  </si>
  <si>
    <t>Account &amp; role</t>
  </si>
  <si>
    <t>Adam Jones (admin), Adam Jones Dev (standard user)</t>
  </si>
  <si>
    <t>Extension version</t>
  </si>
  <si>
    <t>1.0.0</t>
  </si>
  <si>
    <t>Tester</t>
  </si>
  <si>
    <t>Adam Jones</t>
  </si>
  <si>
    <t>Date</t>
  </si>
  <si>
    <t>Install &amp; load</t>
  </si>
  <si>
    <t>I&amp;L-01</t>
  </si>
  <si>
    <t>I&amp;L-02</t>
  </si>
  <si>
    <t>I&amp;L-03</t>
  </si>
  <si>
    <t>I&amp;L-04</t>
  </si>
  <si>
    <t>Popup — connection</t>
  </si>
  <si>
    <t>P—C-01</t>
  </si>
  <si>
    <t>P—C-02</t>
  </si>
  <si>
    <t>P—C-03</t>
  </si>
  <si>
    <t>P—C-04</t>
  </si>
  <si>
    <t>P—C-05</t>
  </si>
  <si>
    <t>Quick Insert</t>
  </si>
  <si>
    <t>QI-01</t>
  </si>
  <si>
    <t>QI-02</t>
  </si>
  <si>
    <t>QI-03</t>
  </si>
  <si>
    <t>QI-04</t>
  </si>
  <si>
    <t>QI-05</t>
  </si>
  <si>
    <t>QI-06</t>
  </si>
  <si>
    <t>Core toggles</t>
  </si>
  <si>
    <t>CT-01</t>
  </si>
  <si>
    <t>CT-02</t>
  </si>
  <si>
    <t>CT-03</t>
  </si>
  <si>
    <t>CT-04</t>
  </si>
  <si>
    <t>CT-05</t>
  </si>
  <si>
    <t>Columns</t>
  </si>
  <si>
    <t>C-01</t>
  </si>
  <si>
    <t>C-02</t>
  </si>
  <si>
    <t>C-03</t>
  </si>
  <si>
    <t>Process mappings</t>
  </si>
  <si>
    <t>PM-01</t>
  </si>
  <si>
    <t>Template upload</t>
  </si>
  <si>
    <t>TU-01</t>
  </si>
  <si>
    <t>TU-02</t>
  </si>
  <si>
    <t>Theme</t>
  </si>
  <si>
    <t>T-01</t>
  </si>
  <si>
    <t>T-02</t>
  </si>
  <si>
    <t>T-03</t>
  </si>
  <si>
    <t>T-04</t>
  </si>
  <si>
    <t>Banners</t>
  </si>
  <si>
    <t>B-01</t>
  </si>
  <si>
    <t>B-02</t>
  </si>
  <si>
    <t>B-03</t>
  </si>
  <si>
    <t>Right-click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</si>
  <si>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</si>
  <si>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</si>
  <si>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</si>
  <si>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</si>
  <si>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</si>
  <si>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</si>
  <si>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</si>
  <si>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</si>
  <si>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</si>
  <si>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</si>
  <si>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Generated Material</t>
  </si>
  <si>
    <t>GM-01</t>
  </si>
  <si>
    <t>GM-02</t>
  </si>
  <si>
    <t>GM-03</t>
  </si>
  <si>
    <t>GM-04</t>
  </si>
  <si>
    <t>GM-05</t>
  </si>
  <si>
    <t>Templates</t>
  </si>
  <si>
    <t>T-05</t>
  </si>
  <si>
    <t>T-06</t>
  </si>
  <si>
    <t>T-07</t>
  </si>
  <si>
    <t>T-08</t>
  </si>
  <si>
    <t>T-09</t>
  </si>
  <si>
    <t>T-10</t>
  </si>
  <si>
    <t>T-11</t>
  </si>
  <si>
    <t>Rich-text insert</t>
  </si>
  <si>
    <t>RI-01</t>
  </si>
  <si>
    <t>RI-02</t>
  </si>
  <si>
    <t>RI-03</t>
  </si>
  <si>
    <t>RI-04</t>
  </si>
  <si>
    <t>RI-05</t>
  </si>
  <si>
    <t>Notes format</t>
  </si>
  <si>
    <t>NF-01</t>
  </si>
  <si>
    <t>Navigation</t>
  </si>
  <si>
    <t>N-01</t>
  </si>
  <si>
    <t>N-02</t>
  </si>
  <si>
    <t>N-03</t>
  </si>
  <si>
    <t>N-04</t>
  </si>
  <si>
    <t>Case alias</t>
  </si>
  <si>
    <t>CA-01</t>
  </si>
  <si>
    <t>CA-02</t>
  </si>
  <si>
    <t>CA-03</t>
  </si>
  <si>
    <t>CA-04</t>
  </si>
  <si>
    <t>Photo download</t>
  </si>
  <si>
    <t>PD-01</t>
  </si>
  <si>
    <t>PD-02</t>
  </si>
  <si>
    <t>Case report</t>
  </si>
  <si>
    <t>CR-01</t>
  </si>
  <si>
    <t>CR-02</t>
  </si>
  <si>
    <t>CR-03</t>
  </si>
  <si>
    <t>CR-04</t>
  </si>
  <si>
    <t>Manager</t>
  </si>
  <si>
    <t>M-01</t>
  </si>
  <si>
    <t>M-02</t>
  </si>
  <si>
    <t>M-03</t>
  </si>
  <si>
    <t>M-04</t>
  </si>
  <si>
    <t>M-05</t>
  </si>
  <si>
    <t>M-06</t>
  </si>
  <si>
    <t>Manager edit</t>
  </si>
  <si>
    <t>ME-01</t>
  </si>
  <si>
    <t>ME-02</t>
  </si>
  <si>
    <t>ME-03</t>
  </si>
  <si>
    <t>ME-04</t>
  </si>
  <si>
    <t>ME-05</t>
  </si>
  <si>
    <t>ME-06</t>
  </si>
  <si>
    <t>ME-07</t>
  </si>
  <si>
    <t>RTE editor</t>
  </si>
  <si>
    <t>RE-01</t>
  </si>
  <si>
    <t>RE-02</t>
  </si>
  <si>
    <t>RE-03</t>
  </si>
  <si>
    <t>RE-04</t>
  </si>
  <si>
    <t>RE-05</t>
  </si>
  <si>
    <t>RE-06</t>
  </si>
  <si>
    <t>RE-07</t>
  </si>
  <si>
    <t>RE-08</t>
  </si>
  <si>
    <t>RE-09</t>
  </si>
  <si>
    <t>RE-10</t>
  </si>
  <si>
    <t>RE-11</t>
  </si>
  <si>
    <t>RE-12</t>
  </si>
  <si>
    <t>Teams</t>
  </si>
  <si>
    <t>T-12</t>
  </si>
  <si>
    <t>T-13</t>
  </si>
  <si>
    <t>T-14</t>
  </si>
  <si>
    <t>T-15</t>
  </si>
  <si>
    <t>History</t>
  </si>
  <si>
    <t>H-01</t>
  </si>
  <si>
    <t>H-02</t>
  </si>
  <si>
    <t>Usage</t>
  </si>
  <si>
    <t>U-01</t>
  </si>
  <si>
    <t>U-02</t>
  </si>
  <si>
    <t>U-03</t>
  </si>
  <si>
    <t>U-04</t>
  </si>
  <si>
    <t>U-05</t>
  </si>
  <si>
    <t>Read-only</t>
  </si>
  <si>
    <t>R-11</t>
  </si>
  <si>
    <t>R-12</t>
  </si>
  <si>
    <t>Dark mode</t>
  </si>
  <si>
    <t>DM-01</t>
  </si>
  <si>
    <t>Background</t>
  </si>
  <si>
    <t>B-04</t>
  </si>
  <si>
    <t>B-05</t>
  </si>
  <si>
    <t>Diagnostics</t>
  </si>
  <si>
    <t>D-01</t>
  </si>
  <si>
    <t>D-02</t>
  </si>
  <si>
    <t>Security</t>
  </si>
  <si>
    <t>S-01</t>
  </si>
  <si>
    <t>S-02</t>
  </si>
  <si>
    <t>S-03</t>
  </si>
  <si>
    <t>S-04</t>
  </si>
  <si>
    <t>S-05</t>
  </si>
  <si>
    <t>S-06</t>
  </si>
  <si>
    <t>Acknowledgements</t>
  </si>
  <si>
    <t>A-01</t>
  </si>
  <si>
    <t>A-02</t>
  </si>
  <si>
    <t>A-03</t>
  </si>
  <si>
    <t>A-04</t>
  </si>
  <si>
    <t>A-05</t>
  </si>
  <si>
    <t>A-06</t>
  </si>
  <si>
    <t>Suggestions</t>
  </si>
  <si>
    <t>S-07</t>
  </si>
  <si>
    <t>S-08</t>
  </si>
  <si>
    <t>S-09</t>
  </si>
  <si>
    <t>S-10</t>
  </si>
  <si>
    <t>S-11</t>
  </si>
  <si>
    <t>S-12</t>
  </si>
  <si>
    <t>UX</t>
  </si>
  <si>
    <t>U-06</t>
  </si>
  <si>
    <t>U-07</t>
  </si>
  <si>
    <t>U-08</t>
  </si>
  <si>
    <t>U-09</t>
  </si>
  <si>
    <t>U-10</t>
  </si>
  <si>
    <t>Extension loads</t>
  </si>
  <si>
    <t>Content scripts inject</t>
  </si>
  <si>
    <t>Self-heal on update</t>
  </si>
  <si>
    <t>Service-worker fetch notice</t>
  </si>
  <si>
    <t>Initial state</t>
  </si>
  <si>
    <t>Connect Salesforce</t>
  </si>
  <si>
    <t>Sync now</t>
  </si>
  <si>
    <t>Disconnect</t>
  </si>
  <si>
    <t>Offline handling</t>
  </si>
  <si>
    <t>Loaded count</t>
  </si>
  <si>
    <t>Insert into active tab</t>
  </si>
  <si>
    <t>Insert with no editor</t>
  </si>
  <si>
    <t>Pin / unpin</t>
  </si>
  <si>
    <t>Preview</t>
  </si>
  <si>
    <t>Edit local vs official</t>
  </si>
  <si>
    <t>Right-Click Quick-Fill</t>
  </si>
  <si>
    <t>Right-Click Template Menu</t>
  </si>
  <si>
    <t>Nav Arrows</t>
  </si>
  <si>
    <t>Format List Notes</t>
  </si>
  <si>
    <t>Smart Auto-Insert</t>
  </si>
  <si>
    <t>Detect columns</t>
  </si>
  <si>
    <t>Reorder + reset</t>
  </si>
  <si>
    <t>Save / load / overwrite preset</t>
  </si>
  <si>
    <t>Map process→template</t>
  </si>
  <si>
    <t>Upload local .txt</t>
  </si>
  <si>
    <t>Clear all</t>
  </si>
  <si>
    <t>Picker Auto/Light/Dark</t>
  </si>
  <si>
    <t>Live switch to manager</t>
  </si>
  <si>
    <t>Live switch to page UI</t>
  </si>
  <si>
    <t>Auto follows OS</t>
  </si>
  <si>
    <t>Welcome banner</t>
  </si>
  <si>
    <t>What's New</t>
  </si>
  <si>
    <t>Help &amp; tips</t>
  </si>
  <si>
    <t>Date fill (British)</t>
  </si>
  <si>
    <t>Time fill (24h)</t>
  </si>
  <si>
    <t>Status cycle</t>
  </si>
  <si>
    <t>Completed/Sealed By</t>
  </si>
  <si>
    <t>Conducted By / Assigned Staff</t>
  </si>
  <si>
    <t>Exhibit Type marker</t>
  </si>
  <si>
    <t>Exhibit Type no marker</t>
  </si>
  <si>
    <t>Forensic Case lookup</t>
  </si>
  <si>
    <t>Zoom 100% reliability</t>
  </si>
  <si>
    <t>Selectivity</t>
  </si>
  <si>
    <t>Exhibit Type from MG22 name</t>
  </si>
  <si>
    <t>Status QA cycle</t>
  </si>
  <si>
    <t>Encryption Password from Case Background</t>
  </si>
  <si>
    <t>Password — New from a case</t>
  </si>
  <si>
    <t>Password — selectivity</t>
  </si>
  <si>
    <t>Button opens menu</t>
  </si>
  <si>
    <t>Alt+T</t>
  </si>
  <si>
    <t>Search + categories</t>
  </si>
  <si>
    <t>Recents + pins + badges</t>
  </si>
  <si>
    <t>Variable substitution</t>
  </si>
  <si>
    <t>Undo (Alt+Z / toast)</t>
  </si>
  <si>
    <t>Forensic Strategy priority</t>
  </si>
  <si>
    <t>Multi-block faithful</t>
  </si>
  <si>
    <t>Indented bullets</t>
  </si>
  <si>
    <t>Colour &amp; size</t>
  </si>
  <si>
    <t>Plain template</t>
  </si>
  <si>
    <t>Tables stripped gracefully</t>
  </si>
  <si>
    <t>List-view expansion</t>
  </si>
  <si>
    <t>Alt+←/→</t>
  </si>
  <si>
    <t>Counter + bounds</t>
  </si>
  <si>
    <t>Large list loads fully</t>
  </si>
  <si>
    <t>Revisit uses cache</t>
  </si>
  <si>
    <t>Shown where SF doesn't</t>
  </si>
  <si>
    <t>Tasks split-view team lists</t>
  </si>
  <si>
    <t>Not duplicated</t>
  </si>
  <si>
    <t>Live toggle</t>
  </si>
  <si>
    <t>Download All</t>
  </si>
  <si>
    <t>No photos / errors</t>
  </si>
  <si>
    <t>Export from page</t>
  </si>
  <si>
    <t>Export from popup</t>
  </si>
  <si>
    <t>Button gating</t>
  </si>
  <si>
    <t>Sanitisation</t>
  </si>
  <si>
    <t>Views present</t>
  </si>
  <si>
    <t>Teams tile count</t>
  </si>
  <si>
    <t>List columns &amp; badges</t>
  </si>
  <si>
    <t>Search &amp; sort</t>
  </si>
  <si>
    <t>Review Due formatting</t>
  </si>
  <si>
    <t>Bulk ops</t>
  </si>
  <si>
    <t>Create template</t>
  </si>
  <si>
    <t>Edit content → version bump</t>
  </si>
  <si>
    <t>Metadata-only edit</t>
  </si>
  <si>
    <t>Clone as draft</t>
  </si>
  <si>
    <t>Delete with history</t>
  </si>
  <si>
    <t>Delete hidden without permission</t>
  </si>
  <si>
    <t>Status lifecycle</t>
  </si>
  <si>
    <t>Default font/size</t>
  </si>
  <si>
    <t>Bold/italic/underline/strike</t>
  </si>
  <si>
    <t>Lists + highlight</t>
  </si>
  <si>
    <t>Alignment + indent</t>
  </si>
  <si>
    <t>Font / size (px)</t>
  </si>
  <si>
    <t>Colour swatch</t>
  </si>
  <si>
    <t>Link</t>
  </si>
  <si>
    <t>Image file-picker auto-fit</t>
  </si>
  <si>
    <t>Paste from Word</t>
  </si>
  <si>
    <t>Live selection readout</t>
  </si>
  <si>
    <t>Character counter + guard</t>
  </si>
  <si>
    <t>Dark-mode paste visible</t>
  </si>
  <si>
    <t>Single-team fallback</t>
  </si>
  <si>
    <t>Multi-team picker</t>
  </si>
  <si>
    <t>Multi-team visibility</t>
  </si>
  <si>
    <t>Badges show teams</t>
  </si>
  <si>
    <t>View history + diff</t>
  </si>
  <si>
    <t>Export CSV</t>
  </si>
  <si>
    <t>Local log</t>
  </si>
  <si>
    <t>Record link capture</t>
  </si>
  <si>
    <t>Filters + sort</t>
  </si>
  <si>
    <t>Org-wide (if object exists)</t>
  </si>
  <si>
    <t>Org-wide records EVERY user</t>
  </si>
  <si>
    <t>Non-admin viewer</t>
  </si>
  <si>
    <t>Scope correctness</t>
  </si>
  <si>
    <t>Parity sweep</t>
  </si>
  <si>
    <t>20-min sync + manual</t>
  </si>
  <si>
    <t>Review notification</t>
  </si>
  <si>
    <t>Capture + download</t>
  </si>
  <si>
    <t>Off by default + clear</t>
  </si>
  <si>
    <t>Admin gating</t>
  </si>
  <si>
    <t>Acts as the user</t>
  </si>
  <si>
    <t>No secrets shipped</t>
  </si>
  <si>
    <t>OAuth flow (PKCE + state)</t>
  </si>
  <si>
    <t>Multi-team membership</t>
  </si>
  <si>
    <t>Single-team unchanged</t>
  </si>
  <si>
    <t>Mark a controlled doc</t>
  </si>
  <si>
    <t>Analyst acknowledges</t>
  </si>
  <si>
    <t>Re-ack on new version</t>
  </si>
  <si>
    <t>Admin matrix</t>
  </si>
  <si>
    <t>Outstanding nudge</t>
  </si>
  <si>
    <t>Not-yet-enabled message</t>
  </si>
  <si>
    <t>Member suggests an edit</t>
  </si>
  <si>
    <t>Admin sees pending</t>
  </si>
  <si>
    <t>Diff</t>
  </si>
  <si>
    <t>Apply</t>
  </si>
  <si>
    <t>Reject</t>
  </si>
  <si>
    <t>Admin nudge</t>
  </si>
  <si>
    <t>Layout &amp; overflow</t>
  </si>
  <si>
    <t>British spelling</t>
  </si>
  <si>
    <t>Copy accuracy</t>
  </si>
  <si>
    <t>Empty states</t>
  </si>
  <si>
    <t>Toast clears Save/Cancel</t>
  </si>
  <si>
    <t>High</t>
  </si>
  <si>
    <t>Medium</t>
  </si>
  <si>
    <t>Low</t>
  </si>
  <si>
    <t>Unpacked build loaded</t>
  </si>
  <si>
    <t>On a Salesforce Lightning page</t>
  </si>
  <si>
    <t>A Salesforce tab already open</t>
  </si>
  <si>
    <t>Edge extensions page</t>
  </si>
  <si>
    <t>Extension installed</t>
  </si>
  <si>
    <t>Valid SF login</t>
  </si>
  <si>
    <t>Connected</t>
  </si>
  <si>
    <t>Disconnected / no network</t>
  </si>
  <si>
    <t>Templates synced/uploaded</t>
  </si>
  <si>
    <t>On a SF Notes/Forensic Strategy field; template selected</t>
  </si>
  <si>
    <t>Not on an editor field</t>
  </si>
  <si>
    <t>Template selected</t>
  </si>
  <si>
    <t>Select an Official template</t>
  </si>
  <si>
    <t>Popup open</t>
  </si>
  <si>
    <t>On Exhibit Process</t>
  </si>
  <si>
    <t>List view with notes</t>
  </si>
  <si>
    <t>New record form</t>
  </si>
  <si>
    <t>List view open</t>
  </si>
  <si>
    <t>Columns listed</t>
  </si>
  <si>
    <t>Reordered</t>
  </si>
  <si>
    <t>Templates loaded; Sense Check type exists</t>
  </si>
  <si>
    <t>Have .txt files</t>
  </si>
  <si>
    <t>Local templates loaded</t>
  </si>
  <si>
    <t>Manager open in another tab</t>
  </si>
  <si>
    <t>SF page open</t>
  </si>
  <si>
    <t>Theme = Auto</t>
  </si>
  <si>
    <t>First run</t>
  </si>
  <si>
    <t>After update</t>
  </si>
  <si>
    <t>Date field on a form</t>
  </si>
  <si>
    <t>Time field</t>
  </si>
  <si>
    <t>Status combobox</t>
  </si>
  <si>
    <t>User lookup labelled Completed By/Sealed By</t>
  </si>
  <si>
    <t>Those user lookups</t>
  </si>
  <si>
    <t>Exhibit Name contains a marker (SIM/MEM/SD/USB/HDD)</t>
  </si>
  <si>
    <t>Exhibit Name has no marker</t>
  </si>
  <si>
    <t>Forensic Case lookup field</t>
  </si>
  <si>
    <t>Browser at 100%</t>
  </si>
  <si>
    <t>A non-target field</t>
  </si>
  <si>
    <t>New/Edit Generated Material whose Name contains MG22a or MG22B</t>
  </si>
  <si>
    <t>Generated Material Status field</t>
  </si>
  <si>
    <t>Generated Material with an Encryption Password field; the parent case's Case Background holds a password (e.g. 'Password: xxxx', 'Password-xxxx' or 'Password xxxx')</t>
  </si>
  <si>
    <t>Create a Generated Material via a case's related-list 'New' (URL carries the case in backgroundContext)</t>
  </si>
  <si>
    <t>Case Background prose merely mentions the word 'password', not a labelled value</t>
  </si>
  <si>
    <t>Notes/Forensic Strategy field</t>
  </si>
  <si>
    <t>Active editor</t>
  </si>
  <si>
    <t>4+ templates / 2+ categories</t>
  </si>
  <si>
    <t>Some recents/pins/official</t>
  </si>
  <si>
    <t>Template with all variables</t>
  </si>
  <si>
    <t>Just inserted a template</t>
  </si>
  <si>
    <t>On a Forensic Strategy field</t>
  </si>
  <si>
    <t>Rich template (paras, list, colour, bold) saved</t>
  </si>
  <si>
    <t>Template with indented bullets</t>
  </si>
  <si>
    <t>Template with coloured/sized text</t>
  </si>
  <si>
    <t>Plain-text template</t>
  </si>
  <si>
    <t>Content that had a table pasted</t>
  </si>
  <si>
    <t>List view with a Notes column</t>
  </si>
  <si>
    <t>Exhibit Process record from a list</t>
  </si>
  <si>
    <t>Navigating</t>
  </si>
  <si>
    <t>Case with &gt;21 processes</t>
  </si>
  <si>
    <t>A case opened before (count unchanged)</t>
  </si>
  <si>
    <t>A forensic case that has a Project/alias</t>
  </si>
  <si>
    <t>A Tasks list filtered by team (e.g. Examiner Team Leicester / Manchester) with CY cases that have an alias</t>
  </si>
  <si>
    <t>A list that already has a Project column (Examiner Team / All)</t>
  </si>
  <si>
    <t>Aliases showing on a page</t>
  </si>
  <si>
    <t>Uploaded Documents section with photos</t>
  </si>
  <si>
    <t>Section with no photos</t>
  </si>
  <si>
    <t>Forensic Case record</t>
  </si>
  <si>
    <t>On a case page</t>
  </si>
  <si>
    <t>Not a case page</t>
  </si>
  <si>
    <t>Report generated</t>
  </si>
  <si>
    <t>Admin, manager open</t>
  </si>
  <si>
    <t>Templates spanning several teams (DF, eDiscovery, Quality…)</t>
  </si>
  <si>
    <t>Templates view</t>
  </si>
  <si>
    <t>Several templates</t>
  </si>
  <si>
    <t>Templates with review dates</t>
  </si>
  <si>
    <t>Admin; rows selected</t>
  </si>
  <si>
    <t>Admin</t>
  </si>
  <si>
    <t>Existing template</t>
  </si>
  <si>
    <t>Template with versions</t>
  </si>
  <si>
    <t>Admin whose Salesforce DELETE permission has been removed (e.g. at go-live)</t>
  </si>
  <si>
    <t>Editing</t>
  </si>
  <si>
    <t>New template editor</t>
  </si>
  <si>
    <t>Editor</t>
  </si>
  <si>
    <t>Word/Salesforce content on clipboard</t>
  </si>
  <si>
    <t>Mixed-format content</t>
  </si>
  <si>
    <t>Dark theme; paste black text from Salesforce</t>
  </si>
  <si>
    <t>No Teams__c field</t>
  </si>
  <si>
    <t>Teams__c field exists</t>
  </si>
  <si>
    <t>Template set to DF+Cyber</t>
  </si>
  <si>
    <t>Multi-team template</t>
  </si>
  <si>
    <t>History open</t>
  </si>
  <si>
    <t>Inserted templates on this device</t>
  </si>
  <si>
    <t>Insert in a record page vs a list pop-up</t>
  </si>
  <si>
    <t>Several entries</t>
  </si>
  <si>
    <t>Usage object deployed</t>
  </si>
  <si>
    <t>Usage object deployed; standard-user perm set has Create + FLS-Edit on the fields; admin perm set has 'View All'</t>
  </si>
  <si>
    <t>Ordinary member login</t>
  </si>
  <si>
    <t>Member of team DF</t>
  </si>
  <si>
    <t>Dark theme</t>
  </si>
  <si>
    <t>Connected, SF tab open</t>
  </si>
  <si>
    <t>Admin; overdue templates</t>
  </si>
  <si>
    <t>Fresh install</t>
  </si>
  <si>
    <t>Non-admin</t>
  </si>
  <si>
    <t>Any user</t>
  </si>
  <si>
    <t>Build</t>
  </si>
  <si>
    <t>Connecting</t>
  </si>
  <si>
    <t>User with 2+ NucleusTeamMember__c records (different teams)</t>
  </si>
  <si>
    <t>User in exactly one team</t>
  </si>
  <si>
    <t>Admin; a template</t>
  </si>
  <si>
    <t>Template ticked RequiresAck; member of its team</t>
  </si>
  <si>
    <t>Already acknowledged a controlled template</t>
  </si>
  <si>
    <t>Admin; some acknowledgements recorded</t>
  </si>
  <si>
    <t>Outstanding controlled templates for you</t>
  </si>
  <si>
    <t>Ack object not deployed / In Development, or the user lacks Create on it</t>
  </si>
  <si>
    <t>Member (read-only viewer)</t>
  </si>
  <si>
    <t>Admin; a suggestion exists</t>
  </si>
  <si>
    <t>Admin; Suggestions tab</t>
  </si>
  <si>
    <t>Admin; a suggestion</t>
  </si>
  <si>
    <t>Pending suggestions exist</t>
  </si>
  <si>
    <t>All surfaces</t>
  </si>
  <si>
    <t>UI text</t>
  </si>
  <si>
    <t>All toasts/labels</t>
  </si>
  <si>
    <t>No data conditions</t>
  </si>
  <si>
    <t>Trigger a toast inside a modal with a Save/Cancel bar (e.g. right-click a date in 'New Process')</t>
  </si>
  <si>
    <t>Open chrome://extensions</t>
  </si>
  <si>
    <t>Open a Forensic Case / Exhibit Process record</t>
  </si>
  <si>
    <t>Reload the extension (chrome://extensions ↻) WITHOUT refreshing the tab</t>
  </si>
  <si>
    <t>Inspect the extension card</t>
  </si>
  <si>
    <t>Open the popup before connecting</t>
  </si>
  <si>
    <t>Click 'Connect Salesforce', complete OAuth</t>
  </si>
  <si>
    <t>Click 'Sync Now'</t>
  </si>
  <si>
    <t>Click 'Disconnect'</t>
  </si>
  <si>
    <t>Open popup</t>
  </si>
  <si>
    <t>Open popup Quick Insert</t>
  </si>
  <si>
    <t>Click 'Insert into Active Tab'</t>
  </si>
  <si>
    <t>Click Insert</t>
  </si>
  <si>
    <t>Click ☆</t>
  </si>
  <si>
    <t>Click 'Preview'</t>
  </si>
  <si>
    <t>Click 'Edit'</t>
  </si>
  <si>
    <t>Toggle off, test a date field; toggle on</t>
  </si>
  <si>
    <t>Toggle off/on, right-click in Notes</t>
  </si>
  <si>
    <t>Toggle off/on</t>
  </si>
  <si>
    <t>Toggle on; open empty Notes on a mapped process</t>
  </si>
  <si>
    <t>Open popup Table Columns</t>
  </si>
  <si>
    <t>Drag to reorder; then 'Reset'</t>
  </si>
  <si>
    <t>Save Preset (name it); reorder differently; Load the preset from the dropdown; re-save under the same name</t>
  </si>
  <si>
    <t>Expand Process → Template Mappings; map a type incl. 'Sense Check'</t>
  </si>
  <si>
    <t>Select Template Folder</t>
  </si>
  <si>
    <t>Click 'Clear All Templates'</t>
  </si>
  <si>
    <t>Click each theme option</t>
  </si>
  <si>
    <t>Change theme in popup</t>
  </si>
  <si>
    <t>Change theme</t>
  </si>
  <si>
    <t>Change OS light/dark</t>
  </si>
  <si>
    <t>Expand Help &amp; tips</t>
  </si>
  <si>
    <t>Right-click the date field</t>
  </si>
  <si>
    <t>Right-click the time field</t>
  </si>
  <si>
    <t>Right-click repeatedly</t>
  </si>
  <si>
    <t>Right-click the field</t>
  </si>
  <si>
    <t>Right-click Exhibit Type picklist</t>
  </si>
  <si>
    <t>Right-click Exhibit Type</t>
  </si>
  <si>
    <t>Right-click date &amp; exhibit-type fields a few times</t>
  </si>
  <si>
    <t>Right-click a plain text field</t>
  </si>
  <si>
    <t>Right-click the Exhibit Type picklist</t>
  </si>
  <si>
    <t>Right-click the Status field repeatedly</t>
  </si>
  <si>
    <t>Right-click the Encryption Password field</t>
  </si>
  <si>
    <t>Right-click Encryption Password</t>
  </si>
  <si>
    <t>Click 📄 (single click, even unfocused)</t>
  </si>
  <si>
    <t>Press Alt+T</t>
  </si>
  <si>
    <t>Type in search; pick a category</t>
  </si>
  <si>
    <t>Open menu</t>
  </si>
  <si>
    <t>Insert into Notes</t>
  </si>
  <si>
    <t>Press Alt+Z or click Undo</t>
  </si>
  <si>
    <t>Insert into Forensic Strategy</t>
  </si>
  <si>
    <t>Insert</t>
  </si>
  <si>
    <t>View the column</t>
  </si>
  <si>
    <t>Press Alt+← / Alt+→</t>
  </si>
  <si>
    <t>Observe counter; reach list ends</t>
  </si>
  <si>
    <t>Open it; click the first process</t>
  </si>
  <si>
    <t>Re-open the same case; click a process</t>
  </si>
  <si>
    <t>Open a Task related to it; open the Recently Viewed cases list</t>
  </si>
  <si>
    <t>Open the list and look at the Related To column</t>
  </si>
  <si>
    <t>Open it</t>
  </si>
  <si>
    <t>Turn 'Show Case Project / Alias' off, then on — WITHOUT refreshing</t>
  </si>
  <si>
    <t>Click 'Download All' → Start</t>
  </si>
  <si>
    <t>Click Download All</t>
  </si>
  <si>
    <t>Click 'Export Case Report' in the action bar</t>
  </si>
  <si>
    <t>Popup → 'Export Current Case'</t>
  </si>
  <si>
    <t>Check popup/page</t>
  </si>
  <si>
    <t>Open the HTML; check content</t>
  </si>
  <si>
    <t>Click Templates / Reviews / Usage / About</t>
  </si>
  <si>
    <t>Templates view → read the 'Teams' tile and hover it</t>
  </si>
  <si>
    <t>Inspect the table</t>
  </si>
  <si>
    <t>Use filter; click sortable headers</t>
  </si>
  <si>
    <t>Inspect Review Due</t>
  </si>
  <si>
    <t>Use bulk bar (set status / move team / delete)</t>
  </si>
  <si>
    <t>New Template → fill → Save to Salesforce</t>
  </si>
  <si>
    <t>Change CONTENT, pick minor/major, give reason, save</t>
  </si>
  <si>
    <t>Change only status/team/date, save</t>
  </si>
  <si>
    <t>Clone</t>
  </si>
  <si>
    <t>Delete → confirm</t>
  </si>
  <si>
    <t>Open Manager templates list + bulk bar</t>
  </si>
  <si>
    <t>Set Draft/Active/Under Review/Superseded/Retired</t>
  </si>
  <si>
    <t>Click into body</t>
  </si>
  <si>
    <t>Apply each</t>
  </si>
  <si>
    <t>Make bullet &amp; numbered lists</t>
  </si>
  <si>
    <t>Left/centre/right/justify + indent/outdent</t>
  </si>
  <si>
    <t>Pick a font and a px size (e.g. 16)</t>
  </si>
  <si>
    <t>Pick a colour; click default text</t>
  </si>
  <si>
    <t>Insert a link</t>
  </si>
  <si>
    <t>Insert image → pick a file (e.g. logo)</t>
  </si>
  <si>
    <t>Paste into the body</t>
  </si>
  <si>
    <t>Click around / select across formats</t>
  </si>
  <si>
    <t>Type/paste a lot; watch counter; try to exceed</t>
  </si>
  <si>
    <t>Paste into editor</t>
  </si>
  <si>
    <t>Edit a template</t>
  </si>
  <si>
    <t>Log in as DF member, then eDiscovery member</t>
  </si>
  <si>
    <t>View list</t>
  </si>
  <si>
    <t>Open History; compare two versions</t>
  </si>
  <si>
    <t>Manager → Usage</t>
  </si>
  <si>
    <t>Compare entries</t>
  </si>
  <si>
    <t>Use search + template/user filters + sortable headers</t>
  </si>
  <si>
    <t>Admin → Usage</t>
  </si>
  <si>
    <t>A STANDARD (non-admin) user inserts a template, then an admin opens Manager → Usage</t>
  </si>
  <si>
    <t>Open Manager</t>
  </si>
  <si>
    <t>Browse templates</t>
  </si>
  <si>
    <t>Open popup + manager + a record page</t>
  </si>
  <si>
    <t>Wait for auto-sync / force via Diagnostics</t>
  </si>
  <si>
    <t>Trigger a sync</t>
  </si>
  <si>
    <t>Popup → Diagnostics → turn ON Capture; do a few actions (insert, right-click); Download log; open the .txt</t>
  </si>
  <si>
    <t>Check the toggle; use Clear</t>
  </si>
  <si>
    <t>Attempt admin actions</t>
  </si>
  <si>
    <t>Inspect access</t>
  </si>
  <si>
    <t>Inspect package</t>
  </si>
  <si>
    <t>Disconnect, then Connect Salesforce</t>
  </si>
  <si>
    <t>Connect; open the template menu + manager About</t>
  </si>
  <si>
    <t>Connect; open the template menu</t>
  </si>
  <si>
    <t>Tick 'Requires acknowledgement' on it; Save</t>
  </si>
  <si>
    <t>Open it in the manager → click 'I have read &amp; understood vX'</t>
  </si>
  <si>
    <t>Admin publishes a new version; re-sync</t>
  </si>
  <si>
    <t>Manager → Acknowledgements tab</t>
  </si>
  <si>
    <t>Trigger a background sync (SF tab open)</t>
  </si>
  <si>
    <t>Click 'I have read &amp; understood vX'</t>
  </si>
  <si>
    <t>Click 'Suggest edit' on a template; change the text + add a reason; Send</t>
  </si>
  <si>
    <t>Open the manager</t>
  </si>
  <si>
    <t>Click 'View diff'</t>
  </si>
  <si>
    <t>Click 'Reject' and confirm</t>
  </si>
  <si>
    <t>Trigger a background sync</t>
  </si>
  <si>
    <t>Resize popup/manager; long names</t>
  </si>
  <si>
    <t>Scan labels (e.g. 'centre')</t>
  </si>
  <si>
    <t>Cross-check against actions</t>
  </si>
  <si>
    <t>View empty list/usage/reviews</t>
  </si>
  <si>
    <t>Watch where the toast appears</t>
  </si>
  <si>
    <t>Card shows, no errors; 'service worker' active (not 'errored')</t>
  </si>
  <si>
    <t>Injected UI appears (📄 button in Notes, nav arrows where applicable); page console shows no [Cyfor] errors</t>
  </si>
  <si>
    <t>Injected features keep working / re-attach without a manual page refresh</t>
  </si>
  <si>
    <t>Any 'unknown error fetching the script' is benign for unpacked builds; the worker still responds to a test command (Diagnostics §3)</t>
  </si>
  <si>
    <t>Header 'Nucleus Enhancer' + version; connection shows 'Checking…' then 'Not connected'</t>
  </si>
  <si>
    <t>Returns connected: avatar, name, email; badge flips to connected</t>
  </si>
  <si>
    <t>Status shows syncing then 'N official templates · Last synced just now'</t>
  </si>
  <si>
    <t>Returns to 'Not connected'; Quick Insert official count drops</t>
  </si>
  <si>
    <t>No crash; clear not-connected state; Quick Insert still lists local templates only</t>
  </si>
  <si>
    <t>Badge shows 'N loaded'; dropdown 'Select template…' lists templates A–Z</t>
  </si>
  <si>
    <t>Template inserted into the active editor; popup closes; status '"name" sent ✓'</t>
  </si>
  <si>
    <t>Clear message e.g. 'Navigate to a Salesforce page first' / 'click inside the Notes…'</t>
  </si>
  <si>
    <t>Toggles ☆/★; pinned templates appear first in every menu; persists after reopen</t>
  </si>
  <si>
    <t>Preview pane shows up to ~400 chars; closes with ✕</t>
  </si>
  <si>
    <t>Editor opens read-only with note that official templates are managed in Salesforce; Save disabled</t>
  </si>
  <si>
    <t>Off = native menu; On = quick-fill works; state persists</t>
  </si>
  <si>
    <t>Off = no template menu; On = menu appears; persists</t>
  </si>
  <si>
    <t>Arrows/shortcuts disabled/enabled accordingly</t>
  </si>
  <si>
    <t>Notes formatting applied only when on</t>
  </si>
  <si>
    <t>Template auto-inserted (toast 'Auto-inserted …'); off = suggestion only</t>
  </si>
  <si>
    <t>Current table's columns listed; 'Scanning…' resolves</t>
  </si>
  <si>
    <t>Table follows the drag live; Reset returns BOTH the live table AND the popup list to Salesforce's natural order</t>
  </si>
  <si>
    <t>Load APPLIES instantly to the live table (not just a popup preview); re-saving an existing name asks to confirm overwrite</t>
  </si>
  <si>
    <t>Mapping saved; used by Smart Auto-Insert/suggestion</t>
  </si>
  <si>
    <t>'N user templates loaded · M official'; official always win name clashes</t>
  </si>
  <si>
    <t>Local templates removed; official remain</t>
  </si>
  <si>
    <t>Popup restyles immediately; selected button pressed-state</t>
  </si>
  <si>
    <t>Open manager re-themes live with NO refresh</t>
  </si>
  <si>
    <t>Injected UI (menus/toasts) follows the theme</t>
  </si>
  <si>
    <t>Surfaces follow the OS without refresh</t>
  </si>
  <si>
    <t>'Welcome to Nucleus Enhancer 👋' shows; dismiss persists</t>
  </si>
  <si>
    <t>'What's new' shows once; dismiss persists</t>
  </si>
  <si>
    <t>All listed tips accurate to current behaviour</t>
  </si>
  <si>
    <t>Fills today as DD/MM/YYYY; toast 'Date set to 20/06/2026'</t>
  </si>
  <si>
    <t>Fills now as HH:MM (24h); toast 'Time set to 14:30'</t>
  </si>
  <si>
    <t>Cycles Awaiting Start→In Progress→Completed…; toast each step</t>
  </si>
  <si>
    <t>Opens lookup, selects current user; toast 'Set to &lt;you&gt;'</t>
  </si>
  <si>
    <t>Same self-fill behaviour</t>
  </si>
  <si>
    <t>Auto-selects SIM Card / Memory Card / USB Drive / Hard Drive accordingly; toast</t>
  </si>
  <si>
    <t>Does nothing intrusive; a second right-click gives native menu</t>
  </si>
  <si>
    <t>Opens lookup, picks latest real case; toast 'Forensic case set to …' (no glued date)</t>
  </si>
  <si>
    <t>Works first time every time (re: the zoom root-cause)</t>
  </si>
  <si>
    <t>No quick-fill fires; native menu as normal</t>
  </si>
  <si>
    <t>Auto-selects 'MG22a SFR' / 'MG22B SFR' to match the name (case-insensitive); toast. Option labels are adjustable in content/datetime.js if your org words them differently</t>
  </si>
  <si>
    <t>Steps Awaiting QA → QA Complete → Complete Awaiting Return → Returned, one per right-click, toast each step. The Exhibit/Process cycle (Awaiting Start→In Progress→Completed) is unaffected</t>
  </si>
  <si>
    <t>Fills the password parsed from the case background; toast 'Encryption password set from case background'. 'No password found…' if there is none</t>
  </si>
  <si>
    <t>Resolves the parent case from the URL-encoded backgroundContext and fills the password — works even though the case page isn't directly visible / on another tab</t>
  </si>
  <si>
    <t>Does NOT grab a stray word — the parser is line-anchored to a 'Password:' / 'Password ' line; leaves the field for manual entry</t>
  </si>
  <si>
    <t>Menu opens first click; title shows count</t>
  </si>
  <si>
    <t>Template menu opens on the first visible editor</t>
  </si>
  <si>
    <t>Filters live; matches highlighted; category filter works</t>
  </si>
  <si>
    <t>Recently used section; ★ pinned first; Official/Built-in badges; hover preview</t>
  </si>
  <si>
    <t>{{date}}/{{time}}/{{dateTime}} British; {{examiner}}/{{caseRef}}/{{teamName}} resolved or [placeholder]</t>
  </si>
  <si>
    <t>Insertion removed; toast 'Undid "name" (just now)'</t>
  </si>
  <si>
    <t>Forensic Strategy template floated to top</t>
  </si>
  <si>
    <t>ALL content appears (not just first line); formatting preserved within Quill's limits</t>
  </si>
  <si>
    <t>Bullets survive; nothing after them is dropped (div→p + list repair)</t>
  </si>
  <si>
    <t>Colour and size carried through; default text renders black</t>
  </si>
  <si>
    <t>Inserts as plain text, unchanged behaviour</t>
  </si>
  <si>
    <t>No table (Quill limit) but surrounding text intact; no corruption</t>
  </si>
  <si>
    <t>Concatenated notes expanded into readable blocks; words un-glued; pinned-light styling readable</t>
  </si>
  <si>
    <t>Moves to prev/next record in list order</t>
  </si>
  <si>
    <t>Counter '3 / 12' fades ~3s; buttons disable at start/end</t>
  </si>
  <si>
    <t>Count shows the FULL total (e.g. 1/42), not 1/21; list briefly dims then settles at the top; stepping covers all</t>
  </si>
  <si>
    <t>Instant, no dim (served from cache); count still correct. Add a process then revisit → it reloads</t>
  </si>
  <si>
    <t>The project alias appears next to the case (e.g. 'CY-26-0542 · Tioga'); cases with no alias show nothing</t>
  </si>
  <si>
    <t>EVERY CY case shows its alias next to the number IMMEDIATELY (e.g. 'CY-26-0734 · Albarola'), with no clicking in/out and no refresh; LP/DC/DP cases with no alias stay blank. (These are legacy-Aura data-recordid links rendered in zero-width force-lookup cells — the alias must still be matched AND visible)</t>
  </si>
  <si>
    <t>No extra alias added — the existing Project column is left alone</t>
  </si>
  <si>
    <t>Off = aliases vanish immediately; On = they reappear immediately. No page refresh needed. (If the org has no Project field, the feature is silently inert)</t>
  </si>
  <si>
    <t>Files download; progress toasts; success count; button resets</t>
  </si>
  <si>
    <t>Clear warning 'No photographs found'; no crash</t>
  </si>
  <si>
    <t>Sanitised HTML report downloads; success toast</t>
  </si>
  <si>
    <t>Popup closes; report generates on the page</t>
  </si>
  <si>
    <t>Button disabled with hint to open a Forensic Case</t>
  </si>
  <si>
    <t>Commercially-sensitive content stripped; case data correct; Save-as-PDF view works</t>
  </si>
  <si>
    <t>Each view loads; correct subtitle; 'At a glance' tiles (Active/Due ≤30/Overdue/Teams)</t>
  </si>
  <si>
    <t>Counts the DISTINCT teams the templates cover (multi-team aware) — not '1'; the tooltip explains it counts distinct assigned teams (Global isn't a team)</t>
  </si>
  <si>
    <t>Headers Doc ID/Name/Version/Status/Category/Scope/Review Due/Actions; status &amp; scope badges correct; own team highlighted</t>
  </si>
  <si>
    <t>Filters by name/category/team; sort indicators work</t>
  </si>
  <si>
    <t>British DD/MM/YYYY; overdue red, ≤30d amber, with tooltips</t>
  </si>
  <si>
    <t>Applies sequentially with progress; failures reported; no version snapshot for metadata-only</t>
  </si>
  <si>
    <t>Saved; appears in list; effective/review dates British; v1.0</t>
  </si>
  <si>
    <t>Version bumps; reason required; new history snapshot</t>
  </si>
  <si>
    <t>No version bump; no reason required; no new snapshot</t>
  </si>
  <si>
    <t>Opens new editor, status Draft, name '(Copy)', reason prefilled</t>
  </si>
  <si>
    <t>Child versions removed first, then template; clear messaging</t>
  </si>
  <si>
    <t>No Delete buttons appear (row or bulk) — gated on the real Salesforce permission, not just the IsAdmin flag; reload + sync after the permission change</t>
  </si>
  <si>
    <t>Only Active reaches analysts; others hidden from insert menus</t>
  </si>
  <si>
    <t>Default presents as Salesforce Sans 13 (system fallback locally); font box shows 'Salesforce Sans'</t>
  </si>
  <si>
    <t>Formatting applied; buttons show active state on selection</t>
  </si>
  <si>
    <t>Lists apply; the list button highlights when cursor inside that list</t>
  </si>
  <si>
    <t>Applied; alignment buttons reflect state</t>
  </si>
  <si>
    <t>Applied to selection; boxes reflect cursor; blank when selection is mixed</t>
  </si>
  <si>
    <t>Swatch shows chosen colour; for default text shows BLACK (the effective colour), not dark-mode white</t>
  </si>
  <si>
    <t>Wraps selection / inserts URL; opens safely</t>
  </si>
  <si>
    <t>File explorer opens; image auto-shrunk to fit; embeds; or clear 'too large' message</t>
  </si>
  <si>
    <t>Formatting kept (bold/lists/colour); tables/scripts stripped; bullets work</t>
  </si>
  <si>
    <t>Toolbar reflects cursor; boxes blank on mixed selection (Word-like)</t>
  </si>
  <si>
    <t>Counter 'used / 32,768'; turns red over limit; save blocked with a clear message (not a raw SF error)</t>
  </si>
  <si>
    <t>Text is readable (white) in the dark editor; inserts black in Salesforce</t>
  </si>
  <si>
    <t>Single Team dropdown (Global + teams); behaves as before</t>
  </si>
  <si>
    <t>Checkbox list of teams; tick several (e.g. DF + Cyber); none = Global</t>
  </si>
  <si>
    <t>DF sees it; eDiscovery does NOT; Global member sees Global only</t>
  </si>
  <si>
    <t>Scope badge shows the team codes; own team highlighted</t>
  </si>
  <si>
    <t>Snapshots listed (British timestamps); diff shows added/removed; readable (text, not HTML markup)</t>
  </si>
  <si>
    <t>CSV downloads with versions/reasons/dates</t>
  </si>
  <si>
    <t>Entries newest-first; columns When/Template/Record/User; British date+time</t>
  </si>
  <si>
    <t>Record page inserts carry a record link; list pop-up inserts don't (as documented)</t>
  </si>
  <si>
    <t>Filter and sort work; British formats preserved</t>
  </si>
  <si>
    <t>Switches to org-wide; warning banner if writes rejected (object 'In Development')</t>
  </si>
  <si>
    <t>The standard user's insertion appears in the admin's org-wide log — not just admins' own activity (the previous admin-only write gate was removed). If Salesforce rejects the write the admin sees the banner; logging resumes automatically once perms/Deployment Status are fixed (no rebuild)</t>
  </si>
  <si>
    <t>Read-only: no New/Edit/Delete, no Reviews tab; View + History only; correct subtitle</t>
  </si>
  <si>
    <t>Sees DF active templates + Global only; nothing from other teams</t>
  </si>
  <si>
    <t>All surfaces legible; no white-on-white or black-on-black; focus rings visible</t>
  </si>
  <si>
    <t>Templates refresh on schedule and on demand</t>
  </si>
  <si>
    <t>At most one notification/day; click opens manager</t>
  </si>
  <si>
    <t>Toggle persists; events captured; file downloads and opens as clean UTF-8 (no mojibake); shows actions WITH outcomes (e.g. 'date set')</t>
  </si>
  <si>
    <t>Off by default — nothing recorded until enabled; Clear empties the buffer; turning on starts fresh. Safety: buffer capped at 2,000 events; if left on it auto-disables after 24h</t>
  </si>
  <si>
    <t>Cannot create/edit/delete; listAll returns PERMISSION_DENIED → read-only viewer</t>
  </si>
  <si>
    <t>Extension only sees/does what the SF user can; no elevated access</t>
  </si>
  <si>
    <t>No OAuth secrets in the extension; config.js gitignored</t>
  </si>
  <si>
    <t>Sign-in completes normally; the flow uses PKCE and a CSRF 'state' the extension verifies. A tampered/mismatched callback aborts with STATE_MISMATCH in the service-worker console</t>
  </si>
  <si>
    <t>Identity shows 'Team A · Team B'; menu/manager list templates targeted at EITHER team plus Global — and NOTHING from teams the user is not in. Admin if IsAdmin__c is set on any membership</t>
  </si>
  <si>
    <t>Behaves exactly as before — their team's templates + Global; identity shows the one team</t>
  </si>
  <si>
    <t>It becomes a controlled document — an Acknowledge chip appears for members of its team(s)</t>
  </si>
  <si>
    <t>Chip flips to '✓ Acknowledged'; banner count drops; a NucleusTemplateAck__c record is created (CreatedBy = you)</t>
  </si>
  <si>
    <t>Shows outstanding again — the old acknowledgement no longer matches the current version</t>
  </si>
  <si>
    <t>Per controlled template: acked/total + %, status, and the OUTSTANDING members' names — scoped to the template's assigned team(s)</t>
  </si>
  <si>
    <t>At most one browser notification per day; clicking it opens the manager</t>
  </si>
  <si>
    <t>Friendly, actionable message that acknowledgements aren't switched on yet (a template admin must finish setup) — NOT a raw 'entity type cannot be inserted' error</t>
  </si>
  <si>
    <t>Confirmation shown; a NucleusTemplateChangeRequest__c (Pending) is created by you. Template itself is unchanged</t>
  </si>
  <si>
    <t>Side-by-side added/removed lines: suggested vs current version</t>
  </si>
  <si>
    <t>Request marked Approved; editor opens prefilled with the proposed content + a change reason; Saving publishes a normal new version</t>
  </si>
  <si>
    <t>Request marked Rejected; it leaves the pending list; template unchanged</t>
  </si>
  <si>
    <t>At most one browser notification per day to admins; clicking opens the manager</t>
  </si>
  <si>
    <t>No clipping/overflow; tooltips for truncation; narrow-width holds</t>
  </si>
  <si>
    <t>British spellings; consistent terminology</t>
  </si>
  <si>
    <t>Wording matches behaviour; no stale strings</t>
  </si>
  <si>
    <t>Helpful empty-state messages, not blank panels</t>
  </si>
  <si>
    <t>Toast sits near the bottom but ABOVE the Save/Cancel buttons — never covering them, whether a floating modal footer or the inline docked footer</t>
  </si>
  <si>
    <t>ID</t>
  </si>
  <si>
    <t>Area</t>
  </si>
  <si>
    <t>Feature</t>
  </si>
  <si>
    <t>Priority</t>
  </si>
  <si>
    <t>Pre-conditions</t>
  </si>
  <si>
    <t>Steps</t>
  </si>
  <si>
    <t>Expected result</t>
  </si>
  <si>
    <t>Result</t>
  </si>
  <si>
    <t>Actual / notes</t>
  </si>
  <si>
    <t>Overall Summary</t>
  </si>
  <si>
    <t>Count</t>
  </si>
  <si>
    <t>Total cases</t>
  </si>
  <si>
    <t>Per-area (Pass / Fail)</t>
  </si>
  <si>
    <t>Not run / NA</t>
  </si>
  <si>
    <t>Diagnostics quick reference</t>
  </si>
  <si>
    <t>Capture a diagnostic log (easy)</t>
  </si>
  <si>
    <t>Popup → Diagnostics → switch ON 'Capture diagnostic log'. Refresh the Salesforce tab, reproduce the issue / run the tests, then Popup → 'Download log' to save a .txt to send to support. (The spreadsheet is your Pass/Fail record; this log is just technical detail for diagnosing failures.)</t>
  </si>
  <si>
    <t>Manual toggle (advanced)</t>
  </si>
  <si>
    <t>Service-worker console: chrome.storage.local.set({ cyforDebug: true }); then refresh the Salesforce tab. Disable with false.</t>
  </si>
  <si>
    <t>Open the service-worker console</t>
  </si>
  <si>
    <t>chrome://extensions → CYFOR Nucleus Enhancer → 'Inspect views: service worker'.</t>
  </si>
  <si>
    <t>Content-script logs</t>
  </si>
  <si>
    <t>Appear in the PAGE console (F12 on the Salesforce tab). Filter with [Cyfor.</t>
  </si>
  <si>
    <t>Inspect stored state</t>
  </si>
  <si>
    <t>chrome.storage.local.get(null, console.log)  ·  sfOAuthUser  ·  sfRemoteTemplates / sfTemplatesSyncedAt  ·  usageLogError</t>
  </si>
  <si>
    <t>Force a sync</t>
  </si>
  <si>
    <t>chrome.runtime.sendMessage({action:'sfTemplates.sync', forceRefresh:true}, console.log)</t>
  </si>
  <si>
    <t>Check multi-team / limits</t>
  </si>
  <si>
    <t>chrome.runtime.sendMessage({action:'sfTemplates.listAll'}, r=&gt;console.log(r.fields)) → fields.teamsMulti, fields.contentMaxLength</t>
  </si>
  <si>
    <t>Insertion path</t>
  </si>
  <si>
    <t>[Cyfor:insert] method = paste (good) vs insertHTML/innerHTML (fallback) — if rich content is lost, capture this.</t>
  </si>
  <si>
    <t>Right-click native menu</t>
  </si>
  <si>
    <t>Set browser zoom to 100% (zoom shifts elementFromPoint).</t>
  </si>
  <si>
    <t>Full cheat-sheet</t>
  </si>
  <si>
    <t>docs/Nucleus_Enhancer_Diagnostics.md</t>
  </si>
  <si>
    <t>Some commands work and some give errors</t>
  </si>
  <si>
    <t>A-Z but prioritises capitals before lowercase</t>
  </si>
  <si>
    <t>Template content visible but show style information relating to fonts etc instead of just the text</t>
  </si>
  <si>
    <t>Allows editing the local templates and not official but need to fix the formatting of the notes from the previous test</t>
  </si>
  <si>
    <t>When turning off format notes toggle in pop up menu I need to refresh for it to work</t>
  </si>
  <si>
    <t>Typed the word "password" lowercase in case background and it inserted the word "password"</t>
  </si>
  <si>
    <t>Having problems with some cases. Worked on laptop but not computer. Sometimes does not work on a case on the computer and then randomly starts working so seems unstable and unreliable currently</t>
  </si>
  <si>
    <t>Search works, need to double check categori</t>
  </si>
  <si>
    <t>Alt+Z did nothing</t>
  </si>
  <si>
    <t>Little line under the A letter does not change colour as expected</t>
  </si>
  <si>
    <t>Currently failing due to permission error:
Promise {&lt;pending&gt;}
VM48:7 USER: XXXX | isTemplateAdmin: false | instance: https://cyfor.my.salesforce.com
VM48:19 DESC+I118RIBE: 200 ✅ can read object
VM48:27 object createable: false | template field → Template_Name__c (createable=false)
VM48:35 INSERT: 400 ❌ REJECTED
VM48:37 RESPONSE: [{"message":"entity type cannot be inserted: Nucleus Template Usage","errorCode":"CANNOT_INSERT_UPDATE_ACTIVATE_ENTITY","fields":[]}]</t>
  </si>
  <si>
    <t>Suggestions' tab appears with a count badge; the suggestion is listed with submitter + reason</t>
  </si>
  <si>
    <t>Click 'Review &amp; Update' then 'Approve'</t>
  </si>
  <si>
    <t>Button has been removed since creating this test case when there are no photos present</t>
  </si>
  <si>
    <t>Changed from changes being made directly to the template to suggestions to avoid conflicts. No more view diff for suggestions although diff can be checked between versions when actioned</t>
  </si>
  <si>
    <t>ME-08</t>
  </si>
  <si>
    <t>Rename → version bump</t>
  </si>
  <si>
    <t>Change ONLY the Name; pick minor/major; give a reason; save</t>
  </si>
  <si>
    <t>Treated like a content change — version bumps, reason required, a new history snapshot is created. Status/team/date-only edits still don’t bump.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</si>
</sst>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/>
    <xf numFmtId="0" fontId="0" fillId="0" borderId="2" xfId="0" applyBorder="1" applyAlignment="1">
      <alignment vertical="top" wrapText="1"/>
    </xf>
    <xf numFmtId="0" fontId="3" fillId="3" borderId="2" xfId="0" applyFont="1" applyFill="1" applyBorder="1"/>
    <xf numFmtId="0" fontId="4" fillId="4" borderId="2" xfId="0" applyFont="1" applyFill="1" applyBorder="1"/>
    <xf numFmtId="0" fontId="5" fillId="5" borderId="2" xfId="0" applyFont="1" applyFill="1" applyBorder="1"/>
    <xf numFmtId="0" fontId="6" fillId="0" borderId="0" xfId="0" applyFont="1" applyAlignment="1">
      <alignment vertical="top"/>
    </xf>
    <xf numFmtId="0" fontId="7" fillId="6" borderId="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0" fillId="0" borderId="2" xfId="0" quotePrefix="1" applyBorder="1" applyAlignment="1">
      <alignment vertical="top" wrapText="1"/>
    </xf>
    <xf numFmtId="14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10">
    <dxf>
      <font>
        <color rgb="FF3F3F3F"/>
      </font>
      <fill>
        <patternFill>
          <bgColor rgb="FFF2F2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3F3F3F"/>
      </font>
      <fill>
        <patternFill>
          <bgColor rgb="FFF2F2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3F3F3F"/>
      </font>
      <fill>
        <patternFill>
          <bgColor rgb="FFF2F2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3F3F3F"/>
      </font>
      <fill>
        <patternFill>
          <bgColor rgb="FFF2F2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G15" sqref="G15"/>
    </sheetView>
  </sheetViews>
  <sheetFormatPr defaultRowHeight="18" customHeight="1" x14ac:dyDescent="0.3"/>
  <cols>
    <col min="1" max="1" width="50.6640625" style="1" customWidth="1"/>
    <col min="2" max="2" width="60.6640625" style="1" customWidth="1"/>
  </cols>
  <sheetData>
    <row r="1" spans="1:2" ht="18" customHeight="1" x14ac:dyDescent="0.3">
      <c r="A1" s="2" t="s">
        <v>0</v>
      </c>
      <c r="B1" s="2"/>
    </row>
    <row r="2" spans="1:2" ht="18" customHeight="1" x14ac:dyDescent="0.3">
      <c r="A2" s="1" t="s">
        <v>1</v>
      </c>
    </row>
    <row r="3" spans="1:2" ht="18" customHeight="1" x14ac:dyDescent="0.3">
      <c r="A3" s="2" t="s">
        <v>2</v>
      </c>
      <c r="B3" s="2"/>
    </row>
    <row r="4" spans="1:2" ht="18" customHeight="1" x14ac:dyDescent="0.3">
      <c r="A4" s="3" t="s">
        <v>3</v>
      </c>
      <c r="B4" s="4" t="s">
        <v>4</v>
      </c>
    </row>
    <row r="5" spans="1:2" ht="18" customHeight="1" x14ac:dyDescent="0.3">
      <c r="A5" s="5" t="s">
        <v>5</v>
      </c>
      <c r="B5" s="4" t="s">
        <v>6</v>
      </c>
    </row>
    <row r="6" spans="1:2" ht="18" customHeight="1" x14ac:dyDescent="0.3">
      <c r="A6" s="6" t="s">
        <v>7</v>
      </c>
      <c r="B6" s="4" t="s">
        <v>8</v>
      </c>
    </row>
    <row r="7" spans="1:2" ht="18" customHeight="1" x14ac:dyDescent="0.3">
      <c r="A7" s="7" t="s">
        <v>9</v>
      </c>
      <c r="B7" s="4" t="s">
        <v>10</v>
      </c>
    </row>
    <row r="8" spans="1:2" ht="18" customHeight="1" x14ac:dyDescent="0.3">
      <c r="A8" s="7" t="s">
        <v>11</v>
      </c>
      <c r="B8" s="4" t="s">
        <v>12</v>
      </c>
    </row>
    <row r="9" spans="1:2" ht="18" customHeight="1" x14ac:dyDescent="0.3">
      <c r="A9" s="2" t="s">
        <v>13</v>
      </c>
      <c r="B9" s="2"/>
    </row>
    <row r="10" spans="1:2" ht="18" customHeight="1" x14ac:dyDescent="0.3">
      <c r="A10" s="8" t="s">
        <v>14</v>
      </c>
      <c r="B10" s="1" t="s">
        <v>15</v>
      </c>
    </row>
    <row r="11" spans="1:2" ht="18" customHeight="1" x14ac:dyDescent="0.3">
      <c r="A11" s="8" t="s">
        <v>16</v>
      </c>
      <c r="B11" s="1" t="s">
        <v>17</v>
      </c>
    </row>
    <row r="12" spans="1:2" ht="18" customHeight="1" x14ac:dyDescent="0.3">
      <c r="A12" s="8" t="s">
        <v>18</v>
      </c>
      <c r="B12" s="1" t="s">
        <v>19</v>
      </c>
    </row>
    <row r="13" spans="1:2" ht="18" customHeight="1" x14ac:dyDescent="0.3">
      <c r="A13" s="8" t="s">
        <v>20</v>
      </c>
      <c r="B13" s="1" t="s">
        <v>21</v>
      </c>
    </row>
    <row r="14" spans="1:2" ht="18" customHeight="1" x14ac:dyDescent="0.3">
      <c r="A14" s="8" t="s">
        <v>22</v>
      </c>
      <c r="B14" s="1" t="s">
        <v>23</v>
      </c>
    </row>
    <row r="15" spans="1:2" ht="18" customHeight="1" x14ac:dyDescent="0.3">
      <c r="A15" s="8" t="s">
        <v>24</v>
      </c>
      <c r="B15" s="10">
        <v>46200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5"/>
  <sheetViews>
    <sheetView workbookViewId="0">
      <pane ySplit="1" topLeftCell="A97" activePane="bottomLeft" state="frozen"/>
      <selection pane="bottomLeft" activeCell="C107" sqref="C107"/>
    </sheetView>
  </sheetViews>
  <sheetFormatPr defaultRowHeight="14.4" x14ac:dyDescent="0.3"/>
  <cols>
    <col min="1" max="1" width="12.6640625" style="4" customWidth="1"/>
    <col min="2" max="2" width="20.6640625" style="4" customWidth="1"/>
    <col min="3" max="3" width="25.6640625" style="4" customWidth="1"/>
    <col min="4" max="4" width="10.6640625" style="4" customWidth="1"/>
    <col min="5" max="5" width="35.6640625" style="4" customWidth="1"/>
    <col min="6" max="6" width="45.6640625" style="4" customWidth="1"/>
    <col min="7" max="7" width="40.6640625" style="4" customWidth="1"/>
    <col min="8" max="8" width="15.6640625" style="4" customWidth="1"/>
    <col min="9" max="9" width="40.6640625" style="4" customWidth="1"/>
    <col min="10" max="11" width="15.6640625" style="4" customWidth="1"/>
  </cols>
  <sheetData>
    <row r="1" spans="1:11" x14ac:dyDescent="0.3">
      <c r="A1" s="9" t="s">
        <v>734</v>
      </c>
      <c r="B1" s="9" t="s">
        <v>735</v>
      </c>
      <c r="C1" s="9" t="s">
        <v>736</v>
      </c>
      <c r="D1" s="9" t="s">
        <v>737</v>
      </c>
      <c r="E1" s="9" t="s">
        <v>738</v>
      </c>
      <c r="F1" s="9" t="s">
        <v>739</v>
      </c>
      <c r="G1" s="9" t="s">
        <v>740</v>
      </c>
      <c r="H1" s="9" t="s">
        <v>741</v>
      </c>
      <c r="I1" s="9" t="s">
        <v>742</v>
      </c>
      <c r="J1" s="9" t="s">
        <v>22</v>
      </c>
      <c r="K1" s="9" t="s">
        <v>24</v>
      </c>
    </row>
    <row r="2" spans="1:11" x14ac:dyDescent="0.3">
      <c r="A2" s="4" t="s">
        <v>25</v>
      </c>
      <c r="K2" s="12"/>
    </row>
    <row r="3" spans="1:11" ht="28.8" x14ac:dyDescent="0.3">
      <c r="A3" s="4" t="s">
        <v>26</v>
      </c>
      <c r="B3" s="4" t="s">
        <v>25</v>
      </c>
      <c r="C3" s="4" t="s">
        <v>198</v>
      </c>
      <c r="D3" s="4" t="s">
        <v>339</v>
      </c>
      <c r="E3" s="4" t="s">
        <v>342</v>
      </c>
      <c r="F3" s="4" t="s">
        <v>466</v>
      </c>
      <c r="G3" s="4" t="s">
        <v>594</v>
      </c>
      <c r="H3" s="4" t="s">
        <v>3</v>
      </c>
      <c r="J3" s="4" t="s">
        <v>23</v>
      </c>
      <c r="K3" s="12">
        <v>46200</v>
      </c>
    </row>
    <row r="4" spans="1:11" ht="43.2" x14ac:dyDescent="0.3">
      <c r="A4" s="4" t="s">
        <v>27</v>
      </c>
      <c r="B4" s="4" t="s">
        <v>25</v>
      </c>
      <c r="C4" s="4" t="s">
        <v>199</v>
      </c>
      <c r="D4" s="4" t="s">
        <v>339</v>
      </c>
      <c r="E4" s="4" t="s">
        <v>343</v>
      </c>
      <c r="F4" s="4" t="s">
        <v>467</v>
      </c>
      <c r="G4" s="4" t="s">
        <v>595</v>
      </c>
      <c r="H4" s="4" t="s">
        <v>3</v>
      </c>
      <c r="J4" s="4" t="s">
        <v>23</v>
      </c>
      <c r="K4" s="12">
        <v>46200</v>
      </c>
    </row>
    <row r="5" spans="1:11" ht="28.8" x14ac:dyDescent="0.3">
      <c r="A5" s="4" t="s">
        <v>28</v>
      </c>
      <c r="B5" s="4" t="s">
        <v>25</v>
      </c>
      <c r="C5" s="4" t="s">
        <v>200</v>
      </c>
      <c r="D5" s="4" t="s">
        <v>340</v>
      </c>
      <c r="E5" s="4" t="s">
        <v>344</v>
      </c>
      <c r="F5" s="4" t="s">
        <v>468</v>
      </c>
      <c r="G5" s="4" t="s">
        <v>596</v>
      </c>
      <c r="H5" s="4" t="s">
        <v>3</v>
      </c>
      <c r="J5" s="4" t="s">
        <v>23</v>
      </c>
      <c r="K5" s="12">
        <v>46200</v>
      </c>
    </row>
    <row r="6" spans="1:11" ht="43.2" x14ac:dyDescent="0.3">
      <c r="A6" s="4" t="s">
        <v>29</v>
      </c>
      <c r="B6" s="4" t="s">
        <v>25</v>
      </c>
      <c r="C6" s="4" t="s">
        <v>201</v>
      </c>
      <c r="D6" s="4" t="s">
        <v>341</v>
      </c>
      <c r="E6" s="4" t="s">
        <v>345</v>
      </c>
      <c r="F6" s="4" t="s">
        <v>469</v>
      </c>
      <c r="G6" s="4" t="s">
        <v>597</v>
      </c>
      <c r="H6" s="4" t="s">
        <v>7</v>
      </c>
      <c r="I6" s="4" t="s">
        <v>769</v>
      </c>
      <c r="J6" s="4" t="s">
        <v>23</v>
      </c>
      <c r="K6" s="12">
        <v>46200</v>
      </c>
    </row>
    <row r="7" spans="1:11" ht="28.8" x14ac:dyDescent="0.3">
      <c r="A7" s="4" t="s">
        <v>30</v>
      </c>
    </row>
    <row r="8" spans="1:11" ht="43.2" x14ac:dyDescent="0.3">
      <c r="A8" s="4" t="s">
        <v>31</v>
      </c>
      <c r="B8" s="4" t="s">
        <v>30</v>
      </c>
      <c r="C8" s="4" t="s">
        <v>202</v>
      </c>
      <c r="D8" s="4" t="s">
        <v>339</v>
      </c>
      <c r="E8" s="4" t="s">
        <v>346</v>
      </c>
      <c r="F8" s="4" t="s">
        <v>470</v>
      </c>
      <c r="G8" s="4" t="s">
        <v>598</v>
      </c>
      <c r="H8" s="4" t="s">
        <v>3</v>
      </c>
      <c r="J8" s="4" t="s">
        <v>23</v>
      </c>
      <c r="K8" s="12">
        <v>46200</v>
      </c>
    </row>
    <row r="9" spans="1:11" ht="28.8" x14ac:dyDescent="0.3">
      <c r="A9" s="4" t="s">
        <v>32</v>
      </c>
      <c r="B9" s="4" t="s">
        <v>30</v>
      </c>
      <c r="C9" s="4" t="s">
        <v>203</v>
      </c>
      <c r="D9" s="4" t="s">
        <v>339</v>
      </c>
      <c r="E9" s="4" t="s">
        <v>347</v>
      </c>
      <c r="F9" s="4" t="s">
        <v>471</v>
      </c>
      <c r="G9" s="4" t="s">
        <v>599</v>
      </c>
      <c r="H9" s="4" t="s">
        <v>3</v>
      </c>
      <c r="J9" s="4" t="s">
        <v>23</v>
      </c>
      <c r="K9" s="12">
        <v>46200</v>
      </c>
    </row>
    <row r="10" spans="1:11" ht="28.8" x14ac:dyDescent="0.3">
      <c r="A10" s="4" t="s">
        <v>33</v>
      </c>
      <c r="B10" s="4" t="s">
        <v>30</v>
      </c>
      <c r="C10" s="4" t="s">
        <v>204</v>
      </c>
      <c r="D10" s="4" t="s">
        <v>339</v>
      </c>
      <c r="E10" s="4" t="s">
        <v>348</v>
      </c>
      <c r="F10" s="4" t="s">
        <v>472</v>
      </c>
      <c r="G10" s="4" t="s">
        <v>600</v>
      </c>
      <c r="H10" s="4" t="s">
        <v>3</v>
      </c>
      <c r="J10" s="4" t="s">
        <v>23</v>
      </c>
      <c r="K10" s="12">
        <v>46200</v>
      </c>
    </row>
    <row r="11" spans="1:11" ht="28.8" x14ac:dyDescent="0.3">
      <c r="A11" s="4" t="s">
        <v>34</v>
      </c>
      <c r="B11" s="4" t="s">
        <v>30</v>
      </c>
      <c r="C11" s="4" t="s">
        <v>205</v>
      </c>
      <c r="D11" s="4" t="s">
        <v>340</v>
      </c>
      <c r="E11" s="4" t="s">
        <v>348</v>
      </c>
      <c r="F11" s="4" t="s">
        <v>473</v>
      </c>
      <c r="G11" s="4" t="s">
        <v>601</v>
      </c>
      <c r="H11" s="4" t="s">
        <v>3</v>
      </c>
      <c r="J11" s="4" t="s">
        <v>23</v>
      </c>
      <c r="K11" s="12">
        <v>46200</v>
      </c>
    </row>
    <row r="12" spans="1:11" ht="28.8" x14ac:dyDescent="0.3">
      <c r="A12" s="4" t="s">
        <v>35</v>
      </c>
      <c r="B12" s="4" t="s">
        <v>30</v>
      </c>
      <c r="C12" s="4" t="s">
        <v>206</v>
      </c>
      <c r="D12" s="4" t="s">
        <v>340</v>
      </c>
      <c r="E12" s="4" t="s">
        <v>349</v>
      </c>
      <c r="F12" s="4" t="s">
        <v>474</v>
      </c>
      <c r="G12" s="4" t="s">
        <v>602</v>
      </c>
      <c r="H12" s="4" t="s">
        <v>3</v>
      </c>
      <c r="J12" s="4" t="s">
        <v>23</v>
      </c>
      <c r="K12" s="12">
        <v>46200</v>
      </c>
    </row>
    <row r="13" spans="1:11" x14ac:dyDescent="0.3">
      <c r="A13" s="4" t="s">
        <v>36</v>
      </c>
    </row>
    <row r="14" spans="1:11" ht="28.8" x14ac:dyDescent="0.3">
      <c r="A14" s="4" t="s">
        <v>37</v>
      </c>
      <c r="B14" s="4" t="s">
        <v>36</v>
      </c>
      <c r="C14" s="4" t="s">
        <v>207</v>
      </c>
      <c r="D14" s="4" t="s">
        <v>340</v>
      </c>
      <c r="E14" s="4" t="s">
        <v>350</v>
      </c>
      <c r="F14" s="4" t="s">
        <v>475</v>
      </c>
      <c r="G14" s="4" t="s">
        <v>603</v>
      </c>
      <c r="H14" s="4" t="s">
        <v>7</v>
      </c>
      <c r="I14" s="4" t="s">
        <v>770</v>
      </c>
      <c r="J14" s="4" t="s">
        <v>23</v>
      </c>
      <c r="K14" s="12">
        <v>46200</v>
      </c>
    </row>
    <row r="15" spans="1:11" ht="28.8" x14ac:dyDescent="0.3">
      <c r="A15" s="4" t="s">
        <v>38</v>
      </c>
      <c r="B15" s="4" t="s">
        <v>36</v>
      </c>
      <c r="C15" s="4" t="s">
        <v>208</v>
      </c>
      <c r="D15" s="4" t="s">
        <v>339</v>
      </c>
      <c r="E15" s="4" t="s">
        <v>351</v>
      </c>
      <c r="F15" s="4" t="s">
        <v>476</v>
      </c>
      <c r="G15" s="4" t="s">
        <v>604</v>
      </c>
      <c r="H15" s="4" t="s">
        <v>3</v>
      </c>
      <c r="J15" s="4" t="s">
        <v>23</v>
      </c>
      <c r="K15" s="12">
        <v>46200</v>
      </c>
    </row>
    <row r="16" spans="1:11" ht="28.8" x14ac:dyDescent="0.3">
      <c r="A16" s="4" t="s">
        <v>39</v>
      </c>
      <c r="B16" s="4" t="s">
        <v>36</v>
      </c>
      <c r="C16" s="4" t="s">
        <v>209</v>
      </c>
      <c r="D16" s="4" t="s">
        <v>340</v>
      </c>
      <c r="E16" s="4" t="s">
        <v>352</v>
      </c>
      <c r="F16" s="4" t="s">
        <v>477</v>
      </c>
      <c r="G16" s="4" t="s">
        <v>605</v>
      </c>
      <c r="H16" s="4" t="s">
        <v>3</v>
      </c>
      <c r="J16" s="4" t="s">
        <v>23</v>
      </c>
      <c r="K16" s="12">
        <v>46200</v>
      </c>
    </row>
    <row r="17" spans="1:11" ht="28.8" x14ac:dyDescent="0.3">
      <c r="A17" s="4" t="s">
        <v>40</v>
      </c>
      <c r="B17" s="4" t="s">
        <v>36</v>
      </c>
      <c r="C17" s="4" t="s">
        <v>210</v>
      </c>
      <c r="D17" s="4" t="s">
        <v>340</v>
      </c>
      <c r="E17" s="4" t="s">
        <v>353</v>
      </c>
      <c r="F17" s="4" t="s">
        <v>478</v>
      </c>
      <c r="G17" s="4" t="s">
        <v>606</v>
      </c>
      <c r="H17" s="4" t="s">
        <v>3</v>
      </c>
      <c r="J17" s="4" t="s">
        <v>23</v>
      </c>
      <c r="K17" s="12">
        <v>46200</v>
      </c>
    </row>
    <row r="18" spans="1:11" ht="43.2" x14ac:dyDescent="0.3">
      <c r="A18" s="4" t="s">
        <v>41</v>
      </c>
      <c r="B18" s="4" t="s">
        <v>36</v>
      </c>
      <c r="C18" s="4" t="s">
        <v>211</v>
      </c>
      <c r="D18" s="4" t="s">
        <v>341</v>
      </c>
      <c r="E18" s="4" t="s">
        <v>353</v>
      </c>
      <c r="F18" s="4" t="s">
        <v>479</v>
      </c>
      <c r="G18" s="4" t="s">
        <v>607</v>
      </c>
      <c r="H18" s="4" t="s">
        <v>7</v>
      </c>
      <c r="I18" s="4" t="s">
        <v>771</v>
      </c>
      <c r="J18" s="4" t="s">
        <v>23</v>
      </c>
      <c r="K18" s="12">
        <v>46200</v>
      </c>
    </row>
    <row r="19" spans="1:11" ht="43.2" x14ac:dyDescent="0.3">
      <c r="A19" s="4" t="s">
        <v>42</v>
      </c>
      <c r="B19" s="4" t="s">
        <v>36</v>
      </c>
      <c r="C19" s="4" t="s">
        <v>212</v>
      </c>
      <c r="D19" s="4" t="s">
        <v>340</v>
      </c>
      <c r="E19" s="4" t="s">
        <v>354</v>
      </c>
      <c r="F19" s="4" t="s">
        <v>480</v>
      </c>
      <c r="G19" s="4" t="s">
        <v>608</v>
      </c>
      <c r="H19" s="4" t="s">
        <v>3</v>
      </c>
      <c r="I19" s="4" t="s">
        <v>772</v>
      </c>
      <c r="J19" s="4" t="s">
        <v>23</v>
      </c>
      <c r="K19" s="12">
        <v>46200</v>
      </c>
    </row>
    <row r="20" spans="1:11" x14ac:dyDescent="0.3">
      <c r="A20" s="4" t="s">
        <v>43</v>
      </c>
    </row>
    <row r="21" spans="1:11" ht="28.8" x14ac:dyDescent="0.3">
      <c r="A21" s="4" t="s">
        <v>44</v>
      </c>
      <c r="B21" s="4" t="s">
        <v>43</v>
      </c>
      <c r="C21" s="4" t="s">
        <v>213</v>
      </c>
      <c r="D21" s="4" t="s">
        <v>340</v>
      </c>
      <c r="E21" s="4" t="s">
        <v>355</v>
      </c>
      <c r="F21" s="4" t="s">
        <v>481</v>
      </c>
      <c r="G21" s="4" t="s">
        <v>609</v>
      </c>
      <c r="H21" s="4" t="s">
        <v>3</v>
      </c>
      <c r="J21" s="4" t="s">
        <v>23</v>
      </c>
      <c r="K21" s="12">
        <v>46200</v>
      </c>
    </row>
    <row r="22" spans="1:11" ht="28.8" x14ac:dyDescent="0.3">
      <c r="A22" s="4" t="s">
        <v>45</v>
      </c>
      <c r="B22" s="4" t="s">
        <v>43</v>
      </c>
      <c r="C22" s="4" t="s">
        <v>214</v>
      </c>
      <c r="D22" s="4" t="s">
        <v>340</v>
      </c>
      <c r="E22" s="4" t="s">
        <v>355</v>
      </c>
      <c r="F22" s="4" t="s">
        <v>482</v>
      </c>
      <c r="G22" s="4" t="s">
        <v>610</v>
      </c>
      <c r="H22" s="4" t="s">
        <v>3</v>
      </c>
      <c r="J22" s="4" t="s">
        <v>23</v>
      </c>
      <c r="K22" s="12">
        <v>46200</v>
      </c>
    </row>
    <row r="23" spans="1:11" x14ac:dyDescent="0.3">
      <c r="A23" s="4" t="s">
        <v>46</v>
      </c>
      <c r="B23" s="4" t="s">
        <v>43</v>
      </c>
      <c r="C23" s="4" t="s">
        <v>215</v>
      </c>
      <c r="D23" s="4" t="s">
        <v>341</v>
      </c>
      <c r="E23" s="4" t="s">
        <v>356</v>
      </c>
      <c r="F23" s="4" t="s">
        <v>483</v>
      </c>
      <c r="G23" s="4" t="s">
        <v>611</v>
      </c>
      <c r="H23" s="4" t="s">
        <v>3</v>
      </c>
      <c r="J23" s="4" t="s">
        <v>23</v>
      </c>
      <c r="K23" s="12">
        <v>46200</v>
      </c>
    </row>
    <row r="24" spans="1:11" ht="28.8" x14ac:dyDescent="0.3">
      <c r="A24" s="4" t="s">
        <v>47</v>
      </c>
      <c r="B24" s="4" t="s">
        <v>43</v>
      </c>
      <c r="C24" s="4" t="s">
        <v>216</v>
      </c>
      <c r="D24" s="4" t="s">
        <v>341</v>
      </c>
      <c r="E24" s="4" t="s">
        <v>357</v>
      </c>
      <c r="F24" s="4" t="s">
        <v>483</v>
      </c>
      <c r="G24" s="4" t="s">
        <v>612</v>
      </c>
      <c r="H24" s="4" t="s">
        <v>7</v>
      </c>
      <c r="I24" s="4" t="s">
        <v>773</v>
      </c>
      <c r="J24" s="4" t="s">
        <v>23</v>
      </c>
      <c r="K24" s="12">
        <v>46200</v>
      </c>
    </row>
    <row r="25" spans="1:11" ht="28.8" x14ac:dyDescent="0.3">
      <c r="A25" s="4" t="s">
        <v>48</v>
      </c>
      <c r="B25" s="4" t="s">
        <v>43</v>
      </c>
      <c r="C25" s="4" t="s">
        <v>217</v>
      </c>
      <c r="D25" s="4" t="s">
        <v>341</v>
      </c>
      <c r="E25" s="4" t="s">
        <v>358</v>
      </c>
      <c r="F25" s="4" t="s">
        <v>484</v>
      </c>
      <c r="G25" s="4" t="s">
        <v>613</v>
      </c>
      <c r="H25" s="4" t="s">
        <v>3</v>
      </c>
      <c r="J25" s="4" t="s">
        <v>23</v>
      </c>
      <c r="K25" s="12">
        <v>46200</v>
      </c>
    </row>
    <row r="26" spans="1:11" x14ac:dyDescent="0.3">
      <c r="A26" s="4" t="s">
        <v>49</v>
      </c>
    </row>
    <row r="27" spans="1:11" ht="28.8" x14ac:dyDescent="0.3">
      <c r="A27" s="4" t="s">
        <v>50</v>
      </c>
      <c r="B27" s="4" t="s">
        <v>49</v>
      </c>
      <c r="C27" s="4" t="s">
        <v>218</v>
      </c>
      <c r="D27" s="4" t="s">
        <v>341</v>
      </c>
      <c r="E27" s="4" t="s">
        <v>359</v>
      </c>
      <c r="F27" s="4" t="s">
        <v>485</v>
      </c>
      <c r="G27" s="4" t="s">
        <v>614</v>
      </c>
      <c r="H27" s="4" t="s">
        <v>3</v>
      </c>
      <c r="J27" s="4" t="s">
        <v>23</v>
      </c>
      <c r="K27" s="12">
        <v>46200</v>
      </c>
    </row>
    <row r="28" spans="1:11" ht="43.2" x14ac:dyDescent="0.3">
      <c r="A28" s="4" t="s">
        <v>51</v>
      </c>
      <c r="B28" s="4" t="s">
        <v>49</v>
      </c>
      <c r="C28" s="4" t="s">
        <v>219</v>
      </c>
      <c r="D28" s="4" t="s">
        <v>340</v>
      </c>
      <c r="E28" s="4" t="s">
        <v>360</v>
      </c>
      <c r="F28" s="4" t="s">
        <v>486</v>
      </c>
      <c r="G28" s="4" t="s">
        <v>615</v>
      </c>
      <c r="H28" s="4" t="s">
        <v>3</v>
      </c>
      <c r="J28" s="4" t="s">
        <v>23</v>
      </c>
      <c r="K28" s="12">
        <v>46200</v>
      </c>
    </row>
    <row r="29" spans="1:11" ht="43.2" x14ac:dyDescent="0.3">
      <c r="A29" s="4" t="s">
        <v>52</v>
      </c>
      <c r="B29" s="4" t="s">
        <v>49</v>
      </c>
      <c r="C29" s="4" t="s">
        <v>220</v>
      </c>
      <c r="D29" s="4" t="s">
        <v>341</v>
      </c>
      <c r="E29" s="4" t="s">
        <v>361</v>
      </c>
      <c r="F29" s="4" t="s">
        <v>487</v>
      </c>
      <c r="G29" s="4" t="s">
        <v>616</v>
      </c>
      <c r="H29" s="4" t="s">
        <v>3</v>
      </c>
      <c r="J29" s="4" t="s">
        <v>23</v>
      </c>
      <c r="K29" s="12">
        <v>46200</v>
      </c>
    </row>
    <row r="30" spans="1:11" ht="28.8" x14ac:dyDescent="0.3">
      <c r="A30" s="4" t="s">
        <v>53</v>
      </c>
    </row>
    <row r="31" spans="1:11" ht="28.8" x14ac:dyDescent="0.3">
      <c r="A31" s="4" t="s">
        <v>54</v>
      </c>
      <c r="B31" s="4" t="s">
        <v>53</v>
      </c>
      <c r="C31" s="4" t="s">
        <v>221</v>
      </c>
      <c r="D31" s="4" t="s">
        <v>341</v>
      </c>
      <c r="E31" s="4" t="s">
        <v>362</v>
      </c>
      <c r="F31" s="4" t="s">
        <v>488</v>
      </c>
      <c r="G31" s="4" t="s">
        <v>617</v>
      </c>
      <c r="H31" s="4" t="s">
        <v>3</v>
      </c>
      <c r="J31" s="4" t="s">
        <v>23</v>
      </c>
      <c r="K31" s="12">
        <v>46200</v>
      </c>
    </row>
    <row r="32" spans="1:11" ht="28.8" x14ac:dyDescent="0.3">
      <c r="A32" s="4" t="s">
        <v>55</v>
      </c>
    </row>
    <row r="33" spans="1:11" ht="28.8" x14ac:dyDescent="0.3">
      <c r="A33" s="4" t="s">
        <v>56</v>
      </c>
      <c r="B33" s="4" t="s">
        <v>55</v>
      </c>
      <c r="C33" s="4" t="s">
        <v>222</v>
      </c>
      <c r="D33" s="4" t="s">
        <v>341</v>
      </c>
      <c r="E33" s="4" t="s">
        <v>363</v>
      </c>
      <c r="F33" s="4" t="s">
        <v>489</v>
      </c>
      <c r="G33" s="4" t="s">
        <v>618</v>
      </c>
      <c r="H33" s="4" t="s">
        <v>3</v>
      </c>
      <c r="J33" s="4" t="s">
        <v>23</v>
      </c>
      <c r="K33" s="12">
        <v>46200</v>
      </c>
    </row>
    <row r="34" spans="1:11" x14ac:dyDescent="0.3">
      <c r="A34" s="4" t="s">
        <v>57</v>
      </c>
      <c r="B34" s="4" t="s">
        <v>55</v>
      </c>
      <c r="C34" s="4" t="s">
        <v>223</v>
      </c>
      <c r="D34" s="4" t="s">
        <v>341</v>
      </c>
      <c r="E34" s="4" t="s">
        <v>364</v>
      </c>
      <c r="F34" s="4" t="s">
        <v>490</v>
      </c>
      <c r="G34" s="4" t="s">
        <v>619</v>
      </c>
      <c r="H34" s="4" t="s">
        <v>3</v>
      </c>
      <c r="J34" s="4" t="s">
        <v>23</v>
      </c>
      <c r="K34" s="12">
        <v>46200</v>
      </c>
    </row>
    <row r="35" spans="1:11" x14ac:dyDescent="0.3">
      <c r="A35" s="4" t="s">
        <v>58</v>
      </c>
    </row>
    <row r="36" spans="1:11" ht="28.8" x14ac:dyDescent="0.3">
      <c r="A36" s="4" t="s">
        <v>59</v>
      </c>
      <c r="B36" s="4" t="s">
        <v>58</v>
      </c>
      <c r="C36" s="4" t="s">
        <v>224</v>
      </c>
      <c r="D36" s="4" t="s">
        <v>340</v>
      </c>
      <c r="E36" s="4" t="s">
        <v>355</v>
      </c>
      <c r="F36" s="4" t="s">
        <v>491</v>
      </c>
      <c r="G36" s="4" t="s">
        <v>620</v>
      </c>
      <c r="H36" s="4" t="s">
        <v>3</v>
      </c>
      <c r="J36" s="4" t="s">
        <v>23</v>
      </c>
      <c r="K36" s="12">
        <v>46200</v>
      </c>
    </row>
    <row r="37" spans="1:11" x14ac:dyDescent="0.3">
      <c r="A37" s="4" t="s">
        <v>60</v>
      </c>
      <c r="B37" s="4" t="s">
        <v>58</v>
      </c>
      <c r="C37" s="4" t="s">
        <v>225</v>
      </c>
      <c r="D37" s="4" t="s">
        <v>339</v>
      </c>
      <c r="E37" s="4" t="s">
        <v>365</v>
      </c>
      <c r="F37" s="4" t="s">
        <v>492</v>
      </c>
      <c r="G37" s="4" t="s">
        <v>621</v>
      </c>
      <c r="H37" s="4" t="s">
        <v>3</v>
      </c>
      <c r="J37" s="4" t="s">
        <v>23</v>
      </c>
      <c r="K37" s="12">
        <v>46200</v>
      </c>
    </row>
    <row r="38" spans="1:11" x14ac:dyDescent="0.3">
      <c r="A38" s="4" t="s">
        <v>61</v>
      </c>
      <c r="B38" s="4" t="s">
        <v>58</v>
      </c>
      <c r="C38" s="4" t="s">
        <v>226</v>
      </c>
      <c r="D38" s="4" t="s">
        <v>340</v>
      </c>
      <c r="E38" s="4" t="s">
        <v>366</v>
      </c>
      <c r="F38" s="4" t="s">
        <v>493</v>
      </c>
      <c r="G38" s="4" t="s">
        <v>622</v>
      </c>
      <c r="H38" s="4" t="s">
        <v>3</v>
      </c>
      <c r="J38" s="4" t="s">
        <v>23</v>
      </c>
      <c r="K38" s="12">
        <v>46200</v>
      </c>
    </row>
    <row r="39" spans="1:11" x14ac:dyDescent="0.3">
      <c r="A39" s="4" t="s">
        <v>62</v>
      </c>
      <c r="B39" s="4" t="s">
        <v>58</v>
      </c>
      <c r="C39" s="4" t="s">
        <v>227</v>
      </c>
      <c r="D39" s="4" t="s">
        <v>341</v>
      </c>
      <c r="E39" s="4" t="s">
        <v>367</v>
      </c>
      <c r="F39" s="4" t="s">
        <v>494</v>
      </c>
      <c r="G39" s="4" t="s">
        <v>623</v>
      </c>
      <c r="H39" s="4" t="s">
        <v>3</v>
      </c>
      <c r="J39" s="4" t="s">
        <v>23</v>
      </c>
      <c r="K39" s="12">
        <v>46200</v>
      </c>
    </row>
    <row r="40" spans="1:11" x14ac:dyDescent="0.3">
      <c r="A40" s="4" t="s">
        <v>63</v>
      </c>
    </row>
    <row r="41" spans="1:11" ht="28.8" x14ac:dyDescent="0.3">
      <c r="A41" s="4" t="s">
        <v>64</v>
      </c>
      <c r="B41" s="4" t="s">
        <v>63</v>
      </c>
      <c r="C41" s="4" t="s">
        <v>228</v>
      </c>
      <c r="D41" s="4" t="s">
        <v>341</v>
      </c>
      <c r="E41" s="4" t="s">
        <v>368</v>
      </c>
      <c r="F41" s="4" t="s">
        <v>474</v>
      </c>
      <c r="G41" s="4" t="s">
        <v>624</v>
      </c>
      <c r="H41" s="4" t="s">
        <v>3</v>
      </c>
      <c r="J41" s="4" t="s">
        <v>23</v>
      </c>
      <c r="K41" s="12">
        <v>46200</v>
      </c>
    </row>
    <row r="42" spans="1:11" x14ac:dyDescent="0.3">
      <c r="A42" s="4" t="s">
        <v>65</v>
      </c>
      <c r="B42" s="4" t="s">
        <v>63</v>
      </c>
      <c r="C42" s="4" t="s">
        <v>229</v>
      </c>
      <c r="D42" s="4" t="s">
        <v>341</v>
      </c>
      <c r="E42" s="4" t="s">
        <v>369</v>
      </c>
      <c r="F42" s="4" t="s">
        <v>474</v>
      </c>
      <c r="G42" s="4" t="s">
        <v>625</v>
      </c>
      <c r="H42" s="4" t="s">
        <v>3</v>
      </c>
      <c r="J42" s="4" t="s">
        <v>23</v>
      </c>
      <c r="K42" s="12">
        <v>46200</v>
      </c>
    </row>
    <row r="43" spans="1:11" x14ac:dyDescent="0.3">
      <c r="A43" s="4" t="s">
        <v>66</v>
      </c>
      <c r="B43" s="4" t="s">
        <v>63</v>
      </c>
      <c r="C43" s="4" t="s">
        <v>230</v>
      </c>
      <c r="D43" s="4" t="s">
        <v>341</v>
      </c>
      <c r="E43" s="4" t="s">
        <v>355</v>
      </c>
      <c r="F43" s="4" t="s">
        <v>495</v>
      </c>
      <c r="G43" s="4" t="s">
        <v>626</v>
      </c>
      <c r="H43" s="4" t="s">
        <v>3</v>
      </c>
      <c r="J43" s="4" t="s">
        <v>23</v>
      </c>
      <c r="K43" s="12">
        <v>46200</v>
      </c>
    </row>
    <row r="44" spans="1:11" x14ac:dyDescent="0.3">
      <c r="A44" s="4" t="s">
        <v>67</v>
      </c>
    </row>
    <row r="45" spans="1:11" ht="28.8" x14ac:dyDescent="0.3">
      <c r="A45" s="4" t="s">
        <v>68</v>
      </c>
      <c r="B45" s="4" t="s">
        <v>67</v>
      </c>
      <c r="C45" s="4" t="s">
        <v>231</v>
      </c>
      <c r="D45" s="4" t="s">
        <v>339</v>
      </c>
      <c r="E45" s="4" t="s">
        <v>370</v>
      </c>
      <c r="F45" s="4" t="s">
        <v>496</v>
      </c>
      <c r="G45" s="4" t="s">
        <v>627</v>
      </c>
      <c r="H45" s="4" t="s">
        <v>3</v>
      </c>
      <c r="J45" s="4" t="s">
        <v>23</v>
      </c>
      <c r="K45" s="12">
        <v>46200</v>
      </c>
    </row>
    <row r="46" spans="1:11" ht="28.8" x14ac:dyDescent="0.3">
      <c r="A46" s="4" t="s">
        <v>69</v>
      </c>
      <c r="B46" s="4" t="s">
        <v>67</v>
      </c>
      <c r="C46" s="4" t="s">
        <v>232</v>
      </c>
      <c r="D46" s="4" t="s">
        <v>339</v>
      </c>
      <c r="E46" s="4" t="s">
        <v>371</v>
      </c>
      <c r="F46" s="4" t="s">
        <v>497</v>
      </c>
      <c r="G46" s="4" t="s">
        <v>628</v>
      </c>
      <c r="H46" s="4" t="s">
        <v>3</v>
      </c>
      <c r="J46" s="4" t="s">
        <v>23</v>
      </c>
      <c r="K46" s="12">
        <v>46200</v>
      </c>
    </row>
    <row r="47" spans="1:11" ht="28.8" x14ac:dyDescent="0.3">
      <c r="A47" s="4" t="s">
        <v>70</v>
      </c>
      <c r="B47" s="4" t="s">
        <v>67</v>
      </c>
      <c r="C47" s="4" t="s">
        <v>233</v>
      </c>
      <c r="D47" s="4" t="s">
        <v>340</v>
      </c>
      <c r="E47" s="4" t="s">
        <v>372</v>
      </c>
      <c r="F47" s="4" t="s">
        <v>498</v>
      </c>
      <c r="G47" s="4" t="s">
        <v>629</v>
      </c>
      <c r="H47" s="4" t="s">
        <v>3</v>
      </c>
      <c r="J47" s="4" t="s">
        <v>23</v>
      </c>
      <c r="K47" s="12">
        <v>46200</v>
      </c>
    </row>
    <row r="48" spans="1:11" ht="28.8" x14ac:dyDescent="0.3">
      <c r="A48" s="4" t="s">
        <v>71</v>
      </c>
      <c r="B48" s="4" t="s">
        <v>67</v>
      </c>
      <c r="C48" s="4" t="s">
        <v>234</v>
      </c>
      <c r="D48" s="4" t="s">
        <v>339</v>
      </c>
      <c r="E48" s="4" t="s">
        <v>373</v>
      </c>
      <c r="F48" s="4" t="s">
        <v>499</v>
      </c>
      <c r="G48" s="4" t="s">
        <v>630</v>
      </c>
      <c r="H48" s="4" t="s">
        <v>3</v>
      </c>
      <c r="J48" s="4" t="s">
        <v>23</v>
      </c>
      <c r="K48" s="12">
        <v>46200</v>
      </c>
    </row>
    <row r="49" spans="1:11" x14ac:dyDescent="0.3">
      <c r="A49" s="4" t="s">
        <v>72</v>
      </c>
      <c r="B49" s="4" t="s">
        <v>67</v>
      </c>
      <c r="C49" s="4" t="s">
        <v>235</v>
      </c>
      <c r="D49" s="4" t="s">
        <v>340</v>
      </c>
      <c r="E49" s="4" t="s">
        <v>374</v>
      </c>
      <c r="F49" s="4" t="s">
        <v>67</v>
      </c>
      <c r="G49" s="4" t="s">
        <v>631</v>
      </c>
      <c r="H49" s="4" t="s">
        <v>3</v>
      </c>
      <c r="J49" s="4" t="s">
        <v>23</v>
      </c>
      <c r="K49" s="12">
        <v>46200</v>
      </c>
    </row>
    <row r="50" spans="1:11" ht="28.8" x14ac:dyDescent="0.3">
      <c r="A50" s="4" t="s">
        <v>73</v>
      </c>
      <c r="B50" s="4" t="s">
        <v>67</v>
      </c>
      <c r="C50" s="4" t="s">
        <v>236</v>
      </c>
      <c r="D50" s="4" t="s">
        <v>339</v>
      </c>
      <c r="E50" s="4" t="s">
        <v>375</v>
      </c>
      <c r="F50" s="4" t="s">
        <v>500</v>
      </c>
      <c r="G50" s="4" t="s">
        <v>632</v>
      </c>
      <c r="H50" s="4" t="s">
        <v>3</v>
      </c>
      <c r="J50" s="4" t="s">
        <v>23</v>
      </c>
      <c r="K50" s="12">
        <v>46200</v>
      </c>
    </row>
    <row r="51" spans="1:11" ht="28.8" x14ac:dyDescent="0.3">
      <c r="A51" s="4" t="s">
        <v>74</v>
      </c>
      <c r="B51" s="4" t="s">
        <v>67</v>
      </c>
      <c r="C51" s="4" t="s">
        <v>237</v>
      </c>
      <c r="D51" s="4" t="s">
        <v>340</v>
      </c>
      <c r="E51" s="4" t="s">
        <v>376</v>
      </c>
      <c r="F51" s="4" t="s">
        <v>501</v>
      </c>
      <c r="G51" s="4" t="s">
        <v>633</v>
      </c>
      <c r="H51" s="4" t="s">
        <v>3</v>
      </c>
      <c r="J51" s="4" t="s">
        <v>23</v>
      </c>
      <c r="K51" s="12">
        <v>46200</v>
      </c>
    </row>
    <row r="52" spans="1:11" ht="28.8" x14ac:dyDescent="0.3">
      <c r="A52" s="4" t="s">
        <v>75</v>
      </c>
      <c r="B52" s="4" t="s">
        <v>67</v>
      </c>
      <c r="C52" s="4" t="s">
        <v>238</v>
      </c>
      <c r="D52" s="4" t="s">
        <v>340</v>
      </c>
      <c r="E52" s="4" t="s">
        <v>377</v>
      </c>
      <c r="F52" s="4" t="s">
        <v>67</v>
      </c>
      <c r="G52" s="4" t="s">
        <v>634</v>
      </c>
      <c r="H52" s="4" t="s">
        <v>3</v>
      </c>
      <c r="J52" s="4" t="s">
        <v>23</v>
      </c>
      <c r="K52" s="12">
        <v>46200</v>
      </c>
    </row>
    <row r="53" spans="1:11" ht="28.8" x14ac:dyDescent="0.3">
      <c r="A53" s="4" t="s">
        <v>76</v>
      </c>
      <c r="B53" s="4" t="s">
        <v>67</v>
      </c>
      <c r="C53" s="4" t="s">
        <v>239</v>
      </c>
      <c r="D53" s="4" t="s">
        <v>339</v>
      </c>
      <c r="E53" s="4" t="s">
        <v>378</v>
      </c>
      <c r="F53" s="4" t="s">
        <v>502</v>
      </c>
      <c r="G53" s="4" t="s">
        <v>635</v>
      </c>
      <c r="H53" s="4" t="s">
        <v>3</v>
      </c>
      <c r="J53" s="4" t="s">
        <v>23</v>
      </c>
      <c r="K53" s="12">
        <v>46200</v>
      </c>
    </row>
    <row r="54" spans="1:11" x14ac:dyDescent="0.3">
      <c r="A54" s="4" t="s">
        <v>77</v>
      </c>
      <c r="B54" s="4" t="s">
        <v>67</v>
      </c>
      <c r="C54" s="4" t="s">
        <v>240</v>
      </c>
      <c r="D54" s="4" t="s">
        <v>340</v>
      </c>
      <c r="E54" s="4" t="s">
        <v>379</v>
      </c>
      <c r="F54" s="4" t="s">
        <v>503</v>
      </c>
      <c r="G54" s="4" t="s">
        <v>636</v>
      </c>
      <c r="H54" s="4" t="s">
        <v>3</v>
      </c>
      <c r="J54" s="4" t="s">
        <v>23</v>
      </c>
      <c r="K54" s="12">
        <v>46200</v>
      </c>
    </row>
    <row r="55" spans="1:11" ht="28.8" x14ac:dyDescent="0.3">
      <c r="A55" s="4" t="s">
        <v>78</v>
      </c>
    </row>
    <row r="56" spans="1:11" ht="72" x14ac:dyDescent="0.3">
      <c r="A56" s="4" t="s">
        <v>79</v>
      </c>
      <c r="B56" s="4" t="s">
        <v>78</v>
      </c>
      <c r="C56" s="4" t="s">
        <v>241</v>
      </c>
      <c r="D56" s="4" t="s">
        <v>339</v>
      </c>
      <c r="E56" s="4" t="s">
        <v>380</v>
      </c>
      <c r="F56" s="4" t="s">
        <v>504</v>
      </c>
      <c r="G56" s="4" t="s">
        <v>637</v>
      </c>
      <c r="H56" s="4" t="s">
        <v>3</v>
      </c>
      <c r="J56" s="4" t="s">
        <v>23</v>
      </c>
      <c r="K56" s="12">
        <v>46200</v>
      </c>
    </row>
    <row r="57" spans="1:11" ht="72" x14ac:dyDescent="0.3">
      <c r="A57" s="4" t="s">
        <v>80</v>
      </c>
      <c r="B57" s="4" t="s">
        <v>78</v>
      </c>
      <c r="C57" s="4" t="s">
        <v>242</v>
      </c>
      <c r="D57" s="4" t="s">
        <v>340</v>
      </c>
      <c r="E57" s="4" t="s">
        <v>381</v>
      </c>
      <c r="F57" s="4" t="s">
        <v>505</v>
      </c>
      <c r="G57" s="4" t="s">
        <v>638</v>
      </c>
      <c r="H57" s="4" t="s">
        <v>3</v>
      </c>
      <c r="J57" s="4" t="s">
        <v>23</v>
      </c>
      <c r="K57" s="12">
        <v>46200</v>
      </c>
    </row>
    <row r="58" spans="1:11" ht="72" x14ac:dyDescent="0.3">
      <c r="A58" s="4" t="s">
        <v>81</v>
      </c>
      <c r="B58" s="4" t="s">
        <v>78</v>
      </c>
      <c r="C58" s="4" t="s">
        <v>243</v>
      </c>
      <c r="D58" s="4" t="s">
        <v>339</v>
      </c>
      <c r="E58" s="4" t="s">
        <v>382</v>
      </c>
      <c r="F58" s="4" t="s">
        <v>506</v>
      </c>
      <c r="G58" s="4" t="s">
        <v>639</v>
      </c>
      <c r="H58" s="4" t="s">
        <v>7</v>
      </c>
      <c r="I58" s="4" t="s">
        <v>775</v>
      </c>
      <c r="J58" s="4" t="s">
        <v>23</v>
      </c>
      <c r="K58" s="12">
        <v>46200</v>
      </c>
    </row>
    <row r="59" spans="1:11" ht="57.6" x14ac:dyDescent="0.3">
      <c r="A59" s="4" t="s">
        <v>82</v>
      </c>
      <c r="B59" s="4" t="s">
        <v>78</v>
      </c>
      <c r="C59" s="4" t="s">
        <v>244</v>
      </c>
      <c r="D59" s="4" t="s">
        <v>340</v>
      </c>
      <c r="E59" s="4" t="s">
        <v>383</v>
      </c>
      <c r="F59" s="4" t="s">
        <v>507</v>
      </c>
      <c r="G59" s="4" t="s">
        <v>640</v>
      </c>
      <c r="H59" s="4" t="s">
        <v>3</v>
      </c>
      <c r="J59" s="4" t="s">
        <v>23</v>
      </c>
      <c r="K59" s="12">
        <v>46200</v>
      </c>
    </row>
    <row r="60" spans="1:11" ht="43.2" x14ac:dyDescent="0.3">
      <c r="A60" s="4" t="s">
        <v>83</v>
      </c>
      <c r="B60" s="4" t="s">
        <v>78</v>
      </c>
      <c r="C60" s="4" t="s">
        <v>245</v>
      </c>
      <c r="D60" s="4" t="s">
        <v>341</v>
      </c>
      <c r="E60" s="4" t="s">
        <v>384</v>
      </c>
      <c r="F60" s="4" t="s">
        <v>507</v>
      </c>
      <c r="G60" s="4" t="s">
        <v>641</v>
      </c>
      <c r="H60" s="4" t="s">
        <v>5</v>
      </c>
      <c r="I60" s="4" t="s">
        <v>774</v>
      </c>
      <c r="J60" s="4" t="s">
        <v>23</v>
      </c>
      <c r="K60" s="12">
        <v>46200</v>
      </c>
    </row>
    <row r="61" spans="1:11" x14ac:dyDescent="0.3">
      <c r="A61" s="4" t="s">
        <v>84</v>
      </c>
    </row>
    <row r="62" spans="1:11" x14ac:dyDescent="0.3">
      <c r="A62" s="4" t="s">
        <v>85</v>
      </c>
      <c r="B62" s="4" t="s">
        <v>84</v>
      </c>
      <c r="C62" s="4" t="s">
        <v>246</v>
      </c>
      <c r="D62" s="4" t="s">
        <v>339</v>
      </c>
      <c r="E62" s="4" t="s">
        <v>385</v>
      </c>
      <c r="F62" s="4" t="s">
        <v>508</v>
      </c>
      <c r="G62" s="4" t="s">
        <v>642</v>
      </c>
      <c r="H62" s="4" t="s">
        <v>3</v>
      </c>
      <c r="J62" s="4" t="s">
        <v>23</v>
      </c>
      <c r="K62" s="12">
        <v>46200</v>
      </c>
    </row>
    <row r="63" spans="1:11" x14ac:dyDescent="0.3">
      <c r="A63" s="4" t="s">
        <v>86</v>
      </c>
      <c r="B63" s="4" t="s">
        <v>84</v>
      </c>
      <c r="C63" s="4" t="s">
        <v>247</v>
      </c>
      <c r="D63" s="4" t="s">
        <v>340</v>
      </c>
      <c r="E63" s="4" t="s">
        <v>386</v>
      </c>
      <c r="F63" s="4" t="s">
        <v>509</v>
      </c>
      <c r="G63" s="4" t="s">
        <v>643</v>
      </c>
      <c r="H63" s="4" t="s">
        <v>3</v>
      </c>
      <c r="J63" s="4" t="s">
        <v>23</v>
      </c>
      <c r="K63" s="12">
        <v>46200</v>
      </c>
    </row>
    <row r="64" spans="1:11" ht="28.8" x14ac:dyDescent="0.3">
      <c r="A64" s="4" t="s">
        <v>87</v>
      </c>
      <c r="B64" s="4" t="s">
        <v>84</v>
      </c>
      <c r="C64" s="4" t="s">
        <v>248</v>
      </c>
      <c r="D64" s="4" t="s">
        <v>340</v>
      </c>
      <c r="E64" s="4" t="s">
        <v>387</v>
      </c>
      <c r="F64" s="4" t="s">
        <v>510</v>
      </c>
      <c r="G64" s="4" t="s">
        <v>644</v>
      </c>
      <c r="H64" s="4" t="s">
        <v>11</v>
      </c>
      <c r="I64" s="4" t="s">
        <v>776</v>
      </c>
      <c r="J64" s="4" t="s">
        <v>23</v>
      </c>
      <c r="K64" s="12">
        <v>46200</v>
      </c>
    </row>
    <row r="65" spans="1:11" ht="28.8" x14ac:dyDescent="0.3">
      <c r="A65" s="4" t="s">
        <v>88</v>
      </c>
      <c r="B65" s="4" t="s">
        <v>84</v>
      </c>
      <c r="C65" s="4" t="s">
        <v>249</v>
      </c>
      <c r="D65" s="4" t="s">
        <v>341</v>
      </c>
      <c r="E65" s="4" t="s">
        <v>388</v>
      </c>
      <c r="F65" s="4" t="s">
        <v>511</v>
      </c>
      <c r="G65" s="4" t="s">
        <v>645</v>
      </c>
      <c r="H65" s="4" t="s">
        <v>3</v>
      </c>
      <c r="J65" s="4" t="s">
        <v>23</v>
      </c>
      <c r="K65" s="12">
        <v>46200</v>
      </c>
    </row>
    <row r="66" spans="1:11" ht="43.2" x14ac:dyDescent="0.3">
      <c r="A66" s="4" t="s">
        <v>89</v>
      </c>
      <c r="B66" s="4" t="s">
        <v>84</v>
      </c>
      <c r="C66" s="4" t="s">
        <v>250</v>
      </c>
      <c r="D66" s="4" t="s">
        <v>339</v>
      </c>
      <c r="E66" s="4" t="s">
        <v>389</v>
      </c>
      <c r="F66" s="4" t="s">
        <v>512</v>
      </c>
      <c r="G66" s="4" t="s">
        <v>646</v>
      </c>
      <c r="H66" s="4" t="s">
        <v>3</v>
      </c>
      <c r="J66" s="4" t="s">
        <v>23</v>
      </c>
      <c r="K66" s="12">
        <v>46200</v>
      </c>
    </row>
    <row r="67" spans="1:11" ht="28.8" x14ac:dyDescent="0.3">
      <c r="A67" s="4" t="s">
        <v>90</v>
      </c>
      <c r="B67" s="4" t="s">
        <v>84</v>
      </c>
      <c r="C67" s="4" t="s">
        <v>251</v>
      </c>
      <c r="D67" s="4" t="s">
        <v>339</v>
      </c>
      <c r="E67" s="4" t="s">
        <v>390</v>
      </c>
      <c r="F67" s="4" t="s">
        <v>513</v>
      </c>
      <c r="G67" s="4" t="s">
        <v>647</v>
      </c>
      <c r="H67" s="4" t="s">
        <v>5</v>
      </c>
      <c r="I67" s="4" t="s">
        <v>777</v>
      </c>
      <c r="J67" s="4" t="s">
        <v>23</v>
      </c>
      <c r="K67" s="12">
        <v>46200</v>
      </c>
    </row>
    <row r="68" spans="1:11" x14ac:dyDescent="0.3">
      <c r="A68" s="4" t="s">
        <v>91</v>
      </c>
      <c r="B68" s="4" t="s">
        <v>84</v>
      </c>
      <c r="C68" s="4" t="s">
        <v>252</v>
      </c>
      <c r="D68" s="4" t="s">
        <v>341</v>
      </c>
      <c r="E68" s="4" t="s">
        <v>391</v>
      </c>
      <c r="F68" s="4" t="s">
        <v>511</v>
      </c>
      <c r="G68" s="4" t="s">
        <v>648</v>
      </c>
      <c r="H68" s="4" t="s">
        <v>3</v>
      </c>
      <c r="J68" s="4" t="s">
        <v>23</v>
      </c>
      <c r="K68" s="12">
        <v>46200</v>
      </c>
    </row>
    <row r="69" spans="1:11" ht="28.8" x14ac:dyDescent="0.3">
      <c r="A69" s="4" t="s">
        <v>92</v>
      </c>
    </row>
    <row r="70" spans="1:11" ht="28.8" x14ac:dyDescent="0.3">
      <c r="A70" s="4" t="s">
        <v>93</v>
      </c>
      <c r="B70" s="4" t="s">
        <v>92</v>
      </c>
      <c r="C70" s="4" t="s">
        <v>253</v>
      </c>
      <c r="D70" s="4" t="s">
        <v>339</v>
      </c>
      <c r="E70" s="4" t="s">
        <v>392</v>
      </c>
      <c r="F70" s="4" t="s">
        <v>514</v>
      </c>
      <c r="G70" s="4" t="s">
        <v>649</v>
      </c>
      <c r="H70" s="4" t="s">
        <v>3</v>
      </c>
      <c r="J70" s="4" t="s">
        <v>23</v>
      </c>
      <c r="K70" s="12">
        <v>46200</v>
      </c>
    </row>
    <row r="71" spans="1:11" ht="28.8" x14ac:dyDescent="0.3">
      <c r="A71" s="4" t="s">
        <v>94</v>
      </c>
      <c r="B71" s="4" t="s">
        <v>92</v>
      </c>
      <c r="C71" s="4" t="s">
        <v>254</v>
      </c>
      <c r="D71" s="4" t="s">
        <v>339</v>
      </c>
      <c r="E71" s="4" t="s">
        <v>393</v>
      </c>
      <c r="F71" s="4" t="s">
        <v>515</v>
      </c>
      <c r="G71" s="4" t="s">
        <v>650</v>
      </c>
      <c r="H71" s="4" t="s">
        <v>3</v>
      </c>
      <c r="J71" s="4" t="s">
        <v>23</v>
      </c>
      <c r="K71" s="12">
        <v>46200</v>
      </c>
    </row>
    <row r="72" spans="1:11" ht="28.8" x14ac:dyDescent="0.3">
      <c r="A72" s="4" t="s">
        <v>95</v>
      </c>
      <c r="B72" s="4" t="s">
        <v>92</v>
      </c>
      <c r="C72" s="4" t="s">
        <v>255</v>
      </c>
      <c r="D72" s="4" t="s">
        <v>340</v>
      </c>
      <c r="E72" s="4" t="s">
        <v>394</v>
      </c>
      <c r="F72" s="4" t="s">
        <v>515</v>
      </c>
      <c r="G72" s="4" t="s">
        <v>651</v>
      </c>
      <c r="H72" s="4" t="s">
        <v>3</v>
      </c>
      <c r="J72" s="4" t="s">
        <v>23</v>
      </c>
      <c r="K72" s="12">
        <v>46200</v>
      </c>
    </row>
    <row r="73" spans="1:11" x14ac:dyDescent="0.3">
      <c r="A73" s="4" t="s">
        <v>96</v>
      </c>
      <c r="B73" s="4" t="s">
        <v>92</v>
      </c>
      <c r="C73" s="4" t="s">
        <v>256</v>
      </c>
      <c r="D73" s="4" t="s">
        <v>340</v>
      </c>
      <c r="E73" s="4" t="s">
        <v>395</v>
      </c>
      <c r="F73" s="4" t="s">
        <v>515</v>
      </c>
      <c r="G73" s="4" t="s">
        <v>652</v>
      </c>
      <c r="H73" s="4" t="s">
        <v>3</v>
      </c>
      <c r="J73" s="4" t="s">
        <v>23</v>
      </c>
      <c r="K73" s="12">
        <v>46200</v>
      </c>
    </row>
    <row r="74" spans="1:11" ht="28.8" x14ac:dyDescent="0.3">
      <c r="A74" s="4" t="s">
        <v>97</v>
      </c>
      <c r="B74" s="4" t="s">
        <v>92</v>
      </c>
      <c r="C74" s="4" t="s">
        <v>257</v>
      </c>
      <c r="D74" s="4" t="s">
        <v>341</v>
      </c>
      <c r="E74" s="4" t="s">
        <v>396</v>
      </c>
      <c r="F74" s="4" t="s">
        <v>515</v>
      </c>
      <c r="G74" s="4" t="s">
        <v>653</v>
      </c>
      <c r="H74" s="4" t="s">
        <v>3</v>
      </c>
      <c r="J74" s="4" t="s">
        <v>23</v>
      </c>
      <c r="K74" s="12">
        <v>46200</v>
      </c>
    </row>
    <row r="75" spans="1:11" x14ac:dyDescent="0.3">
      <c r="A75" s="4" t="s">
        <v>98</v>
      </c>
    </row>
    <row r="76" spans="1:11" ht="43.2" x14ac:dyDescent="0.3">
      <c r="A76" s="4" t="s">
        <v>99</v>
      </c>
      <c r="B76" s="4" t="s">
        <v>98</v>
      </c>
      <c r="C76" s="4" t="s">
        <v>258</v>
      </c>
      <c r="D76" s="4" t="s">
        <v>341</v>
      </c>
      <c r="E76" s="4" t="s">
        <v>397</v>
      </c>
      <c r="F76" s="4" t="s">
        <v>516</v>
      </c>
      <c r="G76" s="4" t="s">
        <v>654</v>
      </c>
      <c r="H76" s="4" t="s">
        <v>3</v>
      </c>
      <c r="J76" s="4" t="s">
        <v>23</v>
      </c>
      <c r="K76" s="12">
        <v>46200</v>
      </c>
    </row>
    <row r="77" spans="1:11" x14ac:dyDescent="0.3">
      <c r="A77" s="4" t="s">
        <v>100</v>
      </c>
    </row>
    <row r="78" spans="1:11" x14ac:dyDescent="0.3">
      <c r="A78" s="4" t="s">
        <v>101</v>
      </c>
      <c r="B78" s="4" t="s">
        <v>100</v>
      </c>
      <c r="C78" s="4" t="s">
        <v>259</v>
      </c>
      <c r="D78" s="4" t="s">
        <v>340</v>
      </c>
      <c r="E78" s="4" t="s">
        <v>398</v>
      </c>
      <c r="F78" s="4" t="s">
        <v>517</v>
      </c>
      <c r="G78" s="4" t="s">
        <v>655</v>
      </c>
      <c r="H78" s="4" t="s">
        <v>3</v>
      </c>
      <c r="J78" s="4" t="s">
        <v>23</v>
      </c>
      <c r="K78" s="12">
        <v>46200</v>
      </c>
    </row>
    <row r="79" spans="1:11" ht="28.8" x14ac:dyDescent="0.3">
      <c r="A79" s="4" t="s">
        <v>102</v>
      </c>
      <c r="B79" s="4" t="s">
        <v>100</v>
      </c>
      <c r="C79" s="4" t="s">
        <v>260</v>
      </c>
      <c r="D79" s="4" t="s">
        <v>341</v>
      </c>
      <c r="E79" s="4" t="s">
        <v>399</v>
      </c>
      <c r="F79" s="4" t="s">
        <v>518</v>
      </c>
      <c r="G79" s="4" t="s">
        <v>656</v>
      </c>
      <c r="H79" s="4" t="s">
        <v>3</v>
      </c>
      <c r="J79" s="4" t="s">
        <v>23</v>
      </c>
      <c r="K79" s="12">
        <v>46200</v>
      </c>
    </row>
    <row r="80" spans="1:11" ht="43.2" x14ac:dyDescent="0.3">
      <c r="A80" s="4" t="s">
        <v>103</v>
      </c>
      <c r="B80" s="4" t="s">
        <v>100</v>
      </c>
      <c r="C80" s="4" t="s">
        <v>261</v>
      </c>
      <c r="D80" s="4" t="s">
        <v>339</v>
      </c>
      <c r="E80" s="4" t="s">
        <v>400</v>
      </c>
      <c r="F80" s="4" t="s">
        <v>519</v>
      </c>
      <c r="G80" s="4" t="s">
        <v>657</v>
      </c>
      <c r="H80" s="4" t="s">
        <v>3</v>
      </c>
      <c r="J80" s="4" t="s">
        <v>23</v>
      </c>
      <c r="K80" s="12">
        <v>46200</v>
      </c>
    </row>
    <row r="81" spans="1:11" ht="28.8" x14ac:dyDescent="0.3">
      <c r="A81" s="4" t="s">
        <v>104</v>
      </c>
      <c r="B81" s="4" t="s">
        <v>100</v>
      </c>
      <c r="C81" s="4" t="s">
        <v>262</v>
      </c>
      <c r="D81" s="4" t="s">
        <v>341</v>
      </c>
      <c r="E81" s="4" t="s">
        <v>401</v>
      </c>
      <c r="F81" s="4" t="s">
        <v>520</v>
      </c>
      <c r="G81" s="4" t="s">
        <v>658</v>
      </c>
      <c r="H81" s="4" t="s">
        <v>3</v>
      </c>
      <c r="J81" s="4" t="s">
        <v>23</v>
      </c>
      <c r="K81" s="12">
        <v>46200</v>
      </c>
    </row>
    <row r="82" spans="1:11" x14ac:dyDescent="0.3">
      <c r="A82" s="4" t="s">
        <v>105</v>
      </c>
    </row>
    <row r="83" spans="1:11" ht="43.2" x14ac:dyDescent="0.3">
      <c r="A83" s="4" t="s">
        <v>106</v>
      </c>
      <c r="B83" s="4" t="s">
        <v>105</v>
      </c>
      <c r="C83" s="4" t="s">
        <v>263</v>
      </c>
      <c r="D83" s="4" t="s">
        <v>340</v>
      </c>
      <c r="E83" s="4" t="s">
        <v>402</v>
      </c>
      <c r="F83" s="4" t="s">
        <v>521</v>
      </c>
      <c r="G83" s="4" t="s">
        <v>659</v>
      </c>
      <c r="H83" s="4" t="s">
        <v>3</v>
      </c>
      <c r="J83" s="4" t="s">
        <v>23</v>
      </c>
      <c r="K83" s="12">
        <v>46200</v>
      </c>
    </row>
    <row r="84" spans="1:11" ht="100.8" x14ac:dyDescent="0.3">
      <c r="A84" s="4" t="s">
        <v>107</v>
      </c>
      <c r="B84" s="4" t="s">
        <v>105</v>
      </c>
      <c r="C84" s="4" t="s">
        <v>264</v>
      </c>
      <c r="D84" s="4" t="s">
        <v>339</v>
      </c>
      <c r="E84" s="4" t="s">
        <v>403</v>
      </c>
      <c r="F84" s="4" t="s">
        <v>522</v>
      </c>
      <c r="G84" s="4" t="s">
        <v>660</v>
      </c>
      <c r="H84" s="4" t="s">
        <v>3</v>
      </c>
      <c r="J84" s="4" t="s">
        <v>23</v>
      </c>
      <c r="K84" s="12">
        <v>46200</v>
      </c>
    </row>
    <row r="85" spans="1:11" ht="28.8" x14ac:dyDescent="0.3">
      <c r="A85" s="4" t="s">
        <v>108</v>
      </c>
      <c r="B85" s="4" t="s">
        <v>105</v>
      </c>
      <c r="C85" s="4" t="s">
        <v>265</v>
      </c>
      <c r="D85" s="4" t="s">
        <v>341</v>
      </c>
      <c r="E85" s="4" t="s">
        <v>404</v>
      </c>
      <c r="F85" s="4" t="s">
        <v>523</v>
      </c>
      <c r="G85" s="4" t="s">
        <v>661</v>
      </c>
      <c r="H85" s="4" t="s">
        <v>3</v>
      </c>
      <c r="J85" s="4" t="s">
        <v>23</v>
      </c>
      <c r="K85" s="12">
        <v>46200</v>
      </c>
    </row>
    <row r="86" spans="1:11" ht="57.6" x14ac:dyDescent="0.3">
      <c r="A86" s="4" t="s">
        <v>109</v>
      </c>
      <c r="B86" s="4" t="s">
        <v>105</v>
      </c>
      <c r="C86" s="4" t="s">
        <v>266</v>
      </c>
      <c r="D86" s="4" t="s">
        <v>341</v>
      </c>
      <c r="E86" s="4" t="s">
        <v>405</v>
      </c>
      <c r="F86" s="4" t="s">
        <v>524</v>
      </c>
      <c r="G86" s="4" t="s">
        <v>662</v>
      </c>
      <c r="H86" s="4" t="s">
        <v>3</v>
      </c>
      <c r="J86" s="4" t="s">
        <v>23</v>
      </c>
      <c r="K86" s="12">
        <v>46200</v>
      </c>
    </row>
    <row r="87" spans="1:11" ht="28.8" x14ac:dyDescent="0.3">
      <c r="A87" s="4" t="s">
        <v>110</v>
      </c>
      <c r="J87" s="4" t="s">
        <v>23</v>
      </c>
      <c r="K87" s="12">
        <v>46200</v>
      </c>
    </row>
    <row r="88" spans="1:11" ht="28.8" x14ac:dyDescent="0.3">
      <c r="A88" s="4" t="s">
        <v>111</v>
      </c>
      <c r="B88" s="4" t="s">
        <v>110</v>
      </c>
      <c r="C88" s="4" t="s">
        <v>267</v>
      </c>
      <c r="D88" s="4" t="s">
        <v>340</v>
      </c>
      <c r="E88" s="4" t="s">
        <v>406</v>
      </c>
      <c r="F88" s="4" t="s">
        <v>525</v>
      </c>
      <c r="G88" s="4" t="s">
        <v>663</v>
      </c>
      <c r="H88" s="4" t="s">
        <v>3</v>
      </c>
      <c r="J88" s="4" t="s">
        <v>23</v>
      </c>
      <c r="K88" s="12">
        <v>46200</v>
      </c>
    </row>
    <row r="89" spans="1:11" ht="28.8" x14ac:dyDescent="0.3">
      <c r="A89" s="4" t="s">
        <v>112</v>
      </c>
      <c r="B89" s="4" t="s">
        <v>110</v>
      </c>
      <c r="C89" s="4" t="s">
        <v>268</v>
      </c>
      <c r="D89" s="4" t="s">
        <v>341</v>
      </c>
      <c r="E89" s="4" t="s">
        <v>407</v>
      </c>
      <c r="F89" s="4" t="s">
        <v>526</v>
      </c>
      <c r="G89" s="4" t="s">
        <v>664</v>
      </c>
      <c r="H89" s="4" t="s">
        <v>9</v>
      </c>
      <c r="I89" s="4" t="s">
        <v>782</v>
      </c>
      <c r="J89" s="4" t="s">
        <v>23</v>
      </c>
      <c r="K89" s="12">
        <v>46200</v>
      </c>
    </row>
    <row r="90" spans="1:11" x14ac:dyDescent="0.3">
      <c r="A90" s="4" t="s">
        <v>113</v>
      </c>
    </row>
    <row r="91" spans="1:11" ht="28.8" x14ac:dyDescent="0.3">
      <c r="A91" s="4" t="s">
        <v>114</v>
      </c>
      <c r="B91" s="4" t="s">
        <v>113</v>
      </c>
      <c r="C91" s="4" t="s">
        <v>269</v>
      </c>
      <c r="D91" s="4" t="s">
        <v>339</v>
      </c>
      <c r="E91" s="4" t="s">
        <v>408</v>
      </c>
      <c r="F91" s="4" t="s">
        <v>527</v>
      </c>
      <c r="G91" s="4" t="s">
        <v>665</v>
      </c>
      <c r="H91" s="4" t="s">
        <v>3</v>
      </c>
      <c r="J91" s="4" t="s">
        <v>23</v>
      </c>
      <c r="K91" s="12">
        <v>46200</v>
      </c>
    </row>
    <row r="92" spans="1:11" x14ac:dyDescent="0.3">
      <c r="A92" s="4" t="s">
        <v>115</v>
      </c>
      <c r="B92" s="4" t="s">
        <v>113</v>
      </c>
      <c r="C92" s="4" t="s">
        <v>270</v>
      </c>
      <c r="D92" s="4" t="s">
        <v>340</v>
      </c>
      <c r="E92" s="4" t="s">
        <v>409</v>
      </c>
      <c r="F92" s="4" t="s">
        <v>528</v>
      </c>
      <c r="G92" s="4" t="s">
        <v>666</v>
      </c>
      <c r="H92" s="4" t="s">
        <v>3</v>
      </c>
      <c r="J92" s="4" t="s">
        <v>23</v>
      </c>
      <c r="K92" s="12">
        <v>46200</v>
      </c>
    </row>
    <row r="93" spans="1:11" ht="28.8" x14ac:dyDescent="0.3">
      <c r="A93" s="4" t="s">
        <v>116</v>
      </c>
      <c r="B93" s="4" t="s">
        <v>113</v>
      </c>
      <c r="C93" s="4" t="s">
        <v>271</v>
      </c>
      <c r="D93" s="4" t="s">
        <v>340</v>
      </c>
      <c r="E93" s="4" t="s">
        <v>410</v>
      </c>
      <c r="F93" s="4" t="s">
        <v>529</v>
      </c>
      <c r="G93" s="4" t="s">
        <v>667</v>
      </c>
      <c r="H93" s="4" t="s">
        <v>3</v>
      </c>
      <c r="J93" s="4" t="s">
        <v>23</v>
      </c>
      <c r="K93" s="12">
        <v>46200</v>
      </c>
    </row>
    <row r="94" spans="1:11" ht="28.8" x14ac:dyDescent="0.3">
      <c r="A94" s="4" t="s">
        <v>117</v>
      </c>
      <c r="B94" s="4" t="s">
        <v>113</v>
      </c>
      <c r="C94" s="4" t="s">
        <v>272</v>
      </c>
      <c r="D94" s="4" t="s">
        <v>339</v>
      </c>
      <c r="E94" s="4" t="s">
        <v>411</v>
      </c>
      <c r="F94" s="4" t="s">
        <v>530</v>
      </c>
      <c r="G94" s="4" t="s">
        <v>668</v>
      </c>
      <c r="H94" s="4" t="s">
        <v>3</v>
      </c>
      <c r="J94" s="4" t="s">
        <v>23</v>
      </c>
      <c r="K94" s="12">
        <v>46200</v>
      </c>
    </row>
    <row r="95" spans="1:11" x14ac:dyDescent="0.3">
      <c r="A95" s="4" t="s">
        <v>118</v>
      </c>
    </row>
    <row r="96" spans="1:11" ht="28.8" x14ac:dyDescent="0.3">
      <c r="A96" s="4" t="s">
        <v>119</v>
      </c>
      <c r="B96" s="4" t="s">
        <v>118</v>
      </c>
      <c r="C96" s="4" t="s">
        <v>273</v>
      </c>
      <c r="D96" s="4" t="s">
        <v>340</v>
      </c>
      <c r="E96" s="4" t="s">
        <v>412</v>
      </c>
      <c r="F96" s="4" t="s">
        <v>531</v>
      </c>
      <c r="G96" s="4" t="s">
        <v>669</v>
      </c>
      <c r="H96" s="4" t="s">
        <v>3</v>
      </c>
      <c r="J96" s="4" t="s">
        <v>23</v>
      </c>
      <c r="K96" s="12">
        <v>46200</v>
      </c>
    </row>
    <row r="97" spans="1:11" ht="57.6" x14ac:dyDescent="0.3">
      <c r="A97" s="4" t="s">
        <v>120</v>
      </c>
      <c r="B97" s="4" t="s">
        <v>118</v>
      </c>
      <c r="C97" s="4" t="s">
        <v>274</v>
      </c>
      <c r="D97" s="4" t="s">
        <v>341</v>
      </c>
      <c r="E97" s="4" t="s">
        <v>413</v>
      </c>
      <c r="F97" s="4" t="s">
        <v>532</v>
      </c>
      <c r="G97" s="4" t="s">
        <v>670</v>
      </c>
      <c r="H97" s="4" t="s">
        <v>3</v>
      </c>
      <c r="J97" s="4" t="s">
        <v>23</v>
      </c>
      <c r="K97" s="12">
        <v>46200</v>
      </c>
    </row>
    <row r="98" spans="1:11" ht="57.6" x14ac:dyDescent="0.3">
      <c r="A98" s="4" t="s">
        <v>121</v>
      </c>
      <c r="B98" s="4" t="s">
        <v>118</v>
      </c>
      <c r="C98" s="4" t="s">
        <v>275</v>
      </c>
      <c r="D98" s="4" t="s">
        <v>340</v>
      </c>
      <c r="E98" s="4" t="s">
        <v>414</v>
      </c>
      <c r="F98" s="4" t="s">
        <v>533</v>
      </c>
      <c r="G98" s="4" t="s">
        <v>671</v>
      </c>
      <c r="H98" s="4" t="s">
        <v>3</v>
      </c>
      <c r="J98" s="4" t="s">
        <v>23</v>
      </c>
      <c r="K98" s="12">
        <v>46200</v>
      </c>
    </row>
    <row r="99" spans="1:11" ht="28.8" x14ac:dyDescent="0.3">
      <c r="A99" s="4" t="s">
        <v>122</v>
      </c>
      <c r="B99" s="4" t="s">
        <v>118</v>
      </c>
      <c r="C99" s="4" t="s">
        <v>276</v>
      </c>
      <c r="D99" s="4" t="s">
        <v>340</v>
      </c>
      <c r="E99" s="4" t="s">
        <v>415</v>
      </c>
      <c r="F99" s="4" t="s">
        <v>534</v>
      </c>
      <c r="G99" s="4" t="s">
        <v>672</v>
      </c>
      <c r="H99" s="4" t="s">
        <v>3</v>
      </c>
      <c r="J99" s="4" t="s">
        <v>23</v>
      </c>
      <c r="K99" s="12">
        <v>46200</v>
      </c>
    </row>
    <row r="100" spans="1:11" ht="28.8" x14ac:dyDescent="0.3">
      <c r="A100" s="4" t="s">
        <v>123</v>
      </c>
      <c r="B100" s="4" t="s">
        <v>118</v>
      </c>
      <c r="C100" s="4" t="s">
        <v>277</v>
      </c>
      <c r="D100" s="4" t="s">
        <v>340</v>
      </c>
      <c r="E100" s="4" t="s">
        <v>416</v>
      </c>
      <c r="F100" s="4" t="s">
        <v>535</v>
      </c>
      <c r="G100" s="4" t="s">
        <v>673</v>
      </c>
      <c r="H100" s="4" t="s">
        <v>3</v>
      </c>
      <c r="J100" s="4" t="s">
        <v>23</v>
      </c>
      <c r="K100" s="12">
        <v>46200</v>
      </c>
    </row>
    <row r="101" spans="1:11" ht="43.2" x14ac:dyDescent="0.3">
      <c r="A101" s="4" t="s">
        <v>124</v>
      </c>
      <c r="B101" s="4" t="s">
        <v>118</v>
      </c>
      <c r="C101" s="4" t="s">
        <v>278</v>
      </c>
      <c r="D101" s="4" t="s">
        <v>340</v>
      </c>
      <c r="E101" s="4" t="s">
        <v>417</v>
      </c>
      <c r="F101" s="4" t="s">
        <v>536</v>
      </c>
      <c r="G101" s="4" t="s">
        <v>674</v>
      </c>
      <c r="H101" s="4" t="s">
        <v>3</v>
      </c>
      <c r="J101" s="4" t="s">
        <v>23</v>
      </c>
      <c r="K101" s="12">
        <v>46200</v>
      </c>
    </row>
    <row r="102" spans="1:11" x14ac:dyDescent="0.3">
      <c r="A102" s="4" t="s">
        <v>125</v>
      </c>
    </row>
    <row r="103" spans="1:11" ht="28.8" x14ac:dyDescent="0.3">
      <c r="A103" s="4" t="s">
        <v>126</v>
      </c>
      <c r="B103" s="4" t="s">
        <v>125</v>
      </c>
      <c r="C103" s="4" t="s">
        <v>279</v>
      </c>
      <c r="D103" s="4" t="s">
        <v>339</v>
      </c>
      <c r="E103" s="4" t="s">
        <v>418</v>
      </c>
      <c r="F103" s="4" t="s">
        <v>537</v>
      </c>
      <c r="G103" s="4" t="s">
        <v>675</v>
      </c>
      <c r="H103" s="4" t="s">
        <v>3</v>
      </c>
      <c r="J103" s="4" t="s">
        <v>23</v>
      </c>
      <c r="K103" s="12">
        <v>46200</v>
      </c>
    </row>
    <row r="104" spans="1:11" ht="28.8" x14ac:dyDescent="0.3">
      <c r="A104" s="4" t="s">
        <v>127</v>
      </c>
      <c r="B104" s="4" t="s">
        <v>125</v>
      </c>
      <c r="C104" s="4" t="s">
        <v>280</v>
      </c>
      <c r="D104" s="4" t="s">
        <v>339</v>
      </c>
      <c r="E104" s="4" t="s">
        <v>419</v>
      </c>
      <c r="F104" s="4" t="s">
        <v>538</v>
      </c>
      <c r="G104" s="4" t="s">
        <v>676</v>
      </c>
      <c r="H104" s="4" t="s">
        <v>3</v>
      </c>
      <c r="J104" s="4" t="s">
        <v>23</v>
      </c>
      <c r="K104" s="12">
        <v>46200</v>
      </c>
    </row>
    <row r="105" spans="1:11" ht="28.8" x14ac:dyDescent="0.3">
      <c r="A105" s="4" t="s">
        <v>128</v>
      </c>
      <c r="B105" s="4" t="s">
        <v>125</v>
      </c>
      <c r="C105" s="4" t="s">
        <v>281</v>
      </c>
      <c r="D105" s="4" t="s">
        <v>340</v>
      </c>
      <c r="E105" s="4" t="s">
        <v>419</v>
      </c>
      <c r="F105" s="4" t="s">
        <v>539</v>
      </c>
      <c r="G105" s="4" t="s">
        <v>677</v>
      </c>
      <c r="H105" s="4" t="s">
        <v>3</v>
      </c>
      <c r="J105" s="4" t="s">
        <v>23</v>
      </c>
      <c r="K105" s="12">
        <v>46200</v>
      </c>
    </row>
    <row r="106" spans="1:11" ht="57.6" x14ac:dyDescent="0.3">
      <c r="A106" s="4" t="s">
        <v>129</v>
      </c>
      <c r="B106" s="4" t="s">
        <v>125</v>
      </c>
      <c r="C106" s="4" t="s">
        <v>785</v>
      </c>
      <c r="D106" s="4" t="s">
        <v>340</v>
      </c>
      <c r="E106" s="4" t="s">
        <v>419</v>
      </c>
      <c r="F106" s="4" t="s">
        <v>786</v>
      </c>
      <c r="G106" s="4" t="s">
        <v>787</v>
      </c>
      <c r="H106" s="4" t="s">
        <v>3</v>
      </c>
      <c r="J106" s="4" t="s">
        <v>23</v>
      </c>
      <c r="K106" s="12">
        <v>46200</v>
      </c>
    </row>
    <row r="107" spans="1:11" ht="28.8" x14ac:dyDescent="0.3">
      <c r="A107" s="4" t="s">
        <v>130</v>
      </c>
      <c r="B107" s="4" t="s">
        <v>125</v>
      </c>
      <c r="C107" s="4" t="s">
        <v>282</v>
      </c>
      <c r="D107" s="4" t="s">
        <v>340</v>
      </c>
      <c r="E107" s="4" t="s">
        <v>419</v>
      </c>
      <c r="F107" s="4" t="s">
        <v>540</v>
      </c>
      <c r="G107" s="4" t="s">
        <v>678</v>
      </c>
      <c r="H107" s="4" t="s">
        <v>3</v>
      </c>
      <c r="J107" s="4" t="s">
        <v>23</v>
      </c>
      <c r="K107" s="12">
        <v>46200</v>
      </c>
    </row>
    <row r="108" spans="1:11" ht="28.8" x14ac:dyDescent="0.3">
      <c r="A108" s="4" t="s">
        <v>131</v>
      </c>
      <c r="B108" s="4" t="s">
        <v>125</v>
      </c>
      <c r="C108" s="4" t="s">
        <v>283</v>
      </c>
      <c r="D108" s="4" t="s">
        <v>340</v>
      </c>
      <c r="E108" s="4" t="s">
        <v>420</v>
      </c>
      <c r="F108" s="4" t="s">
        <v>541</v>
      </c>
      <c r="G108" s="4" t="s">
        <v>679</v>
      </c>
      <c r="H108" s="4" t="s">
        <v>3</v>
      </c>
      <c r="J108" s="4" t="s">
        <v>23</v>
      </c>
      <c r="K108" s="12">
        <v>46200</v>
      </c>
    </row>
    <row r="109" spans="1:11" ht="57.6" x14ac:dyDescent="0.3">
      <c r="A109" s="4" t="s">
        <v>132</v>
      </c>
      <c r="B109" s="4" t="s">
        <v>125</v>
      </c>
      <c r="C109" s="4" t="s">
        <v>284</v>
      </c>
      <c r="D109" s="4" t="s">
        <v>340</v>
      </c>
      <c r="E109" s="4" t="s">
        <v>421</v>
      </c>
      <c r="F109" s="4" t="s">
        <v>542</v>
      </c>
      <c r="G109" s="4" t="s">
        <v>680</v>
      </c>
      <c r="H109" s="4" t="s">
        <v>3</v>
      </c>
      <c r="J109" s="4" t="s">
        <v>23</v>
      </c>
      <c r="K109" s="12">
        <v>46200</v>
      </c>
    </row>
    <row r="110" spans="1:11" ht="28.8" x14ac:dyDescent="0.3">
      <c r="A110" s="4" t="s">
        <v>784</v>
      </c>
      <c r="B110" s="4" t="s">
        <v>125</v>
      </c>
      <c r="C110" s="4" t="s">
        <v>285</v>
      </c>
      <c r="D110" s="4" t="s">
        <v>340</v>
      </c>
      <c r="E110" s="4" t="s">
        <v>422</v>
      </c>
      <c r="F110" s="4" t="s">
        <v>543</v>
      </c>
      <c r="G110" s="4" t="s">
        <v>681</v>
      </c>
      <c r="H110" s="4" t="s">
        <v>3</v>
      </c>
      <c r="J110" s="4" t="s">
        <v>23</v>
      </c>
      <c r="K110" s="12">
        <v>46200</v>
      </c>
    </row>
    <row r="111" spans="1:11" x14ac:dyDescent="0.3">
      <c r="A111" s="4" t="s">
        <v>133</v>
      </c>
    </row>
    <row r="112" spans="1:11" ht="43.2" x14ac:dyDescent="0.3">
      <c r="A112" s="4" t="s">
        <v>134</v>
      </c>
      <c r="B112" s="4" t="s">
        <v>133</v>
      </c>
      <c r="C112" s="4" t="s">
        <v>286</v>
      </c>
      <c r="D112" s="4" t="s">
        <v>340</v>
      </c>
      <c r="E112" s="4" t="s">
        <v>423</v>
      </c>
      <c r="F112" s="4" t="s">
        <v>544</v>
      </c>
      <c r="G112" s="4" t="s">
        <v>682</v>
      </c>
      <c r="H112" s="4" t="s">
        <v>3</v>
      </c>
      <c r="J112" s="4" t="s">
        <v>23</v>
      </c>
      <c r="K112" s="12">
        <v>46200</v>
      </c>
    </row>
    <row r="113" spans="1:11" ht="28.8" x14ac:dyDescent="0.3">
      <c r="A113" s="4" t="s">
        <v>135</v>
      </c>
      <c r="B113" s="4" t="s">
        <v>133</v>
      </c>
      <c r="C113" s="4" t="s">
        <v>287</v>
      </c>
      <c r="D113" s="4" t="s">
        <v>340</v>
      </c>
      <c r="E113" s="4" t="s">
        <v>424</v>
      </c>
      <c r="F113" s="4" t="s">
        <v>545</v>
      </c>
      <c r="G113" s="4" t="s">
        <v>683</v>
      </c>
      <c r="H113" s="4" t="s">
        <v>3</v>
      </c>
      <c r="J113" s="4" t="s">
        <v>23</v>
      </c>
      <c r="K113" s="12">
        <v>46200</v>
      </c>
    </row>
    <row r="114" spans="1:11" ht="28.8" x14ac:dyDescent="0.3">
      <c r="A114" s="4" t="s">
        <v>136</v>
      </c>
      <c r="B114" s="4" t="s">
        <v>133</v>
      </c>
      <c r="C114" s="4" t="s">
        <v>288</v>
      </c>
      <c r="D114" s="4" t="s">
        <v>340</v>
      </c>
      <c r="E114" s="4" t="s">
        <v>424</v>
      </c>
      <c r="F114" s="4" t="s">
        <v>546</v>
      </c>
      <c r="G114" s="4" t="s">
        <v>684</v>
      </c>
      <c r="H114" s="4" t="s">
        <v>3</v>
      </c>
      <c r="J114" s="4" t="s">
        <v>23</v>
      </c>
      <c r="K114" s="12">
        <v>46200</v>
      </c>
    </row>
    <row r="115" spans="1:11" x14ac:dyDescent="0.3">
      <c r="A115" s="4" t="s">
        <v>137</v>
      </c>
      <c r="B115" s="4" t="s">
        <v>133</v>
      </c>
      <c r="C115" s="4" t="s">
        <v>289</v>
      </c>
      <c r="D115" s="4" t="s">
        <v>341</v>
      </c>
      <c r="E115" s="4" t="s">
        <v>424</v>
      </c>
      <c r="F115" s="4" t="s">
        <v>547</v>
      </c>
      <c r="G115" s="4" t="s">
        <v>685</v>
      </c>
      <c r="H115" s="4" t="s">
        <v>3</v>
      </c>
      <c r="J115" s="4" t="s">
        <v>23</v>
      </c>
      <c r="K115" s="12">
        <v>46200</v>
      </c>
    </row>
    <row r="116" spans="1:11" ht="28.8" x14ac:dyDescent="0.3">
      <c r="A116" s="4" t="s">
        <v>138</v>
      </c>
      <c r="B116" s="4" t="s">
        <v>133</v>
      </c>
      <c r="C116" s="4" t="s">
        <v>290</v>
      </c>
      <c r="D116" s="4" t="s">
        <v>340</v>
      </c>
      <c r="E116" s="4" t="s">
        <v>424</v>
      </c>
      <c r="F116" s="4" t="s">
        <v>548</v>
      </c>
      <c r="G116" s="4" t="s">
        <v>686</v>
      </c>
      <c r="H116" s="4" t="s">
        <v>3</v>
      </c>
      <c r="J116" s="4" t="s">
        <v>23</v>
      </c>
      <c r="K116" s="12">
        <v>46200</v>
      </c>
    </row>
    <row r="117" spans="1:11" ht="43.2" x14ac:dyDescent="0.3">
      <c r="A117" s="4" t="s">
        <v>139</v>
      </c>
      <c r="B117" s="4" t="s">
        <v>133</v>
      </c>
      <c r="C117" s="4" t="s">
        <v>291</v>
      </c>
      <c r="D117" s="4" t="s">
        <v>340</v>
      </c>
      <c r="E117" s="4" t="s">
        <v>424</v>
      </c>
      <c r="F117" s="4" t="s">
        <v>549</v>
      </c>
      <c r="G117" s="4" t="s">
        <v>687</v>
      </c>
      <c r="H117" s="4" t="s">
        <v>5</v>
      </c>
      <c r="I117" s="4" t="s">
        <v>778</v>
      </c>
      <c r="J117" s="4" t="s">
        <v>23</v>
      </c>
      <c r="K117" s="12">
        <v>46200</v>
      </c>
    </row>
    <row r="118" spans="1:11" x14ac:dyDescent="0.3">
      <c r="A118" s="4" t="s">
        <v>140</v>
      </c>
      <c r="B118" s="4" t="s">
        <v>133</v>
      </c>
      <c r="C118" s="4" t="s">
        <v>292</v>
      </c>
      <c r="D118" s="4" t="s">
        <v>341</v>
      </c>
      <c r="E118" s="4" t="s">
        <v>424</v>
      </c>
      <c r="F118" s="4" t="s">
        <v>550</v>
      </c>
      <c r="G118" s="4" t="s">
        <v>688</v>
      </c>
      <c r="H118" s="4" t="s">
        <v>3</v>
      </c>
      <c r="J118" s="4" t="s">
        <v>23</v>
      </c>
      <c r="K118" s="12">
        <v>46200</v>
      </c>
    </row>
    <row r="119" spans="1:11" ht="28.8" x14ac:dyDescent="0.3">
      <c r="A119" s="4" t="s">
        <v>141</v>
      </c>
      <c r="B119" s="4" t="s">
        <v>133</v>
      </c>
      <c r="C119" s="4" t="s">
        <v>293</v>
      </c>
      <c r="D119" s="4" t="s">
        <v>340</v>
      </c>
      <c r="E119" s="4" t="s">
        <v>424</v>
      </c>
      <c r="F119" s="4" t="s">
        <v>551</v>
      </c>
      <c r="G119" s="4" t="s">
        <v>689</v>
      </c>
      <c r="H119" s="4" t="s">
        <v>3</v>
      </c>
      <c r="J119" s="4" t="s">
        <v>23</v>
      </c>
      <c r="K119" s="12">
        <v>46200</v>
      </c>
    </row>
    <row r="120" spans="1:11" ht="28.8" x14ac:dyDescent="0.3">
      <c r="A120" s="4" t="s">
        <v>142</v>
      </c>
      <c r="B120" s="4" t="s">
        <v>133</v>
      </c>
      <c r="C120" s="4" t="s">
        <v>294</v>
      </c>
      <c r="D120" s="4" t="s">
        <v>339</v>
      </c>
      <c r="E120" s="4" t="s">
        <v>425</v>
      </c>
      <c r="F120" s="4" t="s">
        <v>552</v>
      </c>
      <c r="G120" s="4" t="s">
        <v>690</v>
      </c>
      <c r="H120" s="4" t="s">
        <v>3</v>
      </c>
      <c r="J120" s="4" t="s">
        <v>23</v>
      </c>
      <c r="K120" s="12">
        <v>46200</v>
      </c>
    </row>
    <row r="121" spans="1:11" ht="28.8" x14ac:dyDescent="0.3">
      <c r="A121" s="4" t="s">
        <v>143</v>
      </c>
      <c r="B121" s="4" t="s">
        <v>133</v>
      </c>
      <c r="C121" s="4" t="s">
        <v>295</v>
      </c>
      <c r="D121" s="4" t="s">
        <v>340</v>
      </c>
      <c r="E121" s="4" t="s">
        <v>426</v>
      </c>
      <c r="F121" s="4" t="s">
        <v>553</v>
      </c>
      <c r="G121" s="4" t="s">
        <v>691</v>
      </c>
      <c r="H121" s="4" t="s">
        <v>3</v>
      </c>
      <c r="J121" s="4" t="s">
        <v>23</v>
      </c>
      <c r="K121" s="12">
        <v>46200</v>
      </c>
    </row>
    <row r="122" spans="1:11" ht="43.2" x14ac:dyDescent="0.3">
      <c r="A122" s="4" t="s">
        <v>144</v>
      </c>
      <c r="B122" s="4" t="s">
        <v>133</v>
      </c>
      <c r="C122" s="4" t="s">
        <v>296</v>
      </c>
      <c r="D122" s="4" t="s">
        <v>339</v>
      </c>
      <c r="E122" s="4" t="s">
        <v>424</v>
      </c>
      <c r="F122" s="4" t="s">
        <v>554</v>
      </c>
      <c r="G122" s="4" t="s">
        <v>692</v>
      </c>
      <c r="H122" s="4" t="s">
        <v>3</v>
      </c>
      <c r="J122" s="4" t="s">
        <v>23</v>
      </c>
      <c r="K122" s="12">
        <v>46200</v>
      </c>
    </row>
    <row r="123" spans="1:11" ht="28.8" x14ac:dyDescent="0.3">
      <c r="A123" s="4" t="s">
        <v>145</v>
      </c>
      <c r="B123" s="4" t="s">
        <v>133</v>
      </c>
      <c r="C123" s="4" t="s">
        <v>297</v>
      </c>
      <c r="D123" s="4" t="s">
        <v>339</v>
      </c>
      <c r="E123" s="4" t="s">
        <v>427</v>
      </c>
      <c r="F123" s="4" t="s">
        <v>555</v>
      </c>
      <c r="G123" s="4" t="s">
        <v>693</v>
      </c>
      <c r="H123" s="4" t="s">
        <v>3</v>
      </c>
      <c r="J123" s="4" t="s">
        <v>23</v>
      </c>
      <c r="K123" s="12">
        <v>46200</v>
      </c>
    </row>
    <row r="124" spans="1:11" x14ac:dyDescent="0.3">
      <c r="A124" s="4" t="s">
        <v>146</v>
      </c>
    </row>
    <row r="125" spans="1:11" ht="28.8" x14ac:dyDescent="0.3">
      <c r="A125" s="4" t="s">
        <v>147</v>
      </c>
      <c r="B125" s="4" t="s">
        <v>146</v>
      </c>
      <c r="C125" s="4" t="s">
        <v>298</v>
      </c>
      <c r="D125" s="4" t="s">
        <v>339</v>
      </c>
      <c r="E125" s="4" t="s">
        <v>428</v>
      </c>
      <c r="F125" s="4" t="s">
        <v>556</v>
      </c>
      <c r="G125" s="4" t="s">
        <v>694</v>
      </c>
      <c r="H125" s="4" t="s">
        <v>3</v>
      </c>
      <c r="J125" s="4" t="s">
        <v>23</v>
      </c>
      <c r="K125" s="12">
        <v>46200</v>
      </c>
    </row>
    <row r="126" spans="1:11" ht="28.8" x14ac:dyDescent="0.3">
      <c r="A126" s="4" t="s">
        <v>148</v>
      </c>
      <c r="B126" s="4" t="s">
        <v>146</v>
      </c>
      <c r="C126" s="4" t="s">
        <v>299</v>
      </c>
      <c r="D126" s="4" t="s">
        <v>339</v>
      </c>
      <c r="E126" s="4" t="s">
        <v>429</v>
      </c>
      <c r="F126" s="4" t="s">
        <v>556</v>
      </c>
      <c r="G126" s="4" t="s">
        <v>695</v>
      </c>
      <c r="H126" s="4" t="s">
        <v>3</v>
      </c>
      <c r="J126" s="4" t="s">
        <v>23</v>
      </c>
      <c r="K126" s="12">
        <v>46200</v>
      </c>
    </row>
    <row r="127" spans="1:11" ht="28.8" x14ac:dyDescent="0.3">
      <c r="A127" s="4" t="s">
        <v>149</v>
      </c>
      <c r="B127" s="4" t="s">
        <v>146</v>
      </c>
      <c r="C127" s="4" t="s">
        <v>300</v>
      </c>
      <c r="D127" s="4" t="s">
        <v>339</v>
      </c>
      <c r="E127" s="4" t="s">
        <v>430</v>
      </c>
      <c r="F127" s="4" t="s">
        <v>557</v>
      </c>
      <c r="G127" s="4" t="s">
        <v>696</v>
      </c>
      <c r="H127" s="4" t="s">
        <v>3</v>
      </c>
      <c r="J127" s="4" t="s">
        <v>23</v>
      </c>
      <c r="K127" s="12">
        <v>46200</v>
      </c>
    </row>
    <row r="128" spans="1:11" ht="28.8" x14ac:dyDescent="0.3">
      <c r="A128" s="4" t="s">
        <v>150</v>
      </c>
      <c r="B128" s="4" t="s">
        <v>146</v>
      </c>
      <c r="C128" s="4" t="s">
        <v>301</v>
      </c>
      <c r="D128" s="4" t="s">
        <v>340</v>
      </c>
      <c r="E128" s="4" t="s">
        <v>431</v>
      </c>
      <c r="F128" s="4" t="s">
        <v>558</v>
      </c>
      <c r="G128" s="4" t="s">
        <v>697</v>
      </c>
      <c r="H128" s="4" t="s">
        <v>3</v>
      </c>
      <c r="J128" s="4" t="s">
        <v>23</v>
      </c>
      <c r="K128" s="12">
        <v>46200</v>
      </c>
    </row>
    <row r="129" spans="1:11" x14ac:dyDescent="0.3">
      <c r="A129" s="4" t="s">
        <v>151</v>
      </c>
    </row>
    <row r="130" spans="1:11" ht="43.2" x14ac:dyDescent="0.3">
      <c r="A130" s="4" t="s">
        <v>152</v>
      </c>
      <c r="B130" s="4" t="s">
        <v>151</v>
      </c>
      <c r="C130" s="4" t="s">
        <v>302</v>
      </c>
      <c r="D130" s="4" t="s">
        <v>340</v>
      </c>
      <c r="E130" s="4" t="s">
        <v>420</v>
      </c>
      <c r="F130" s="4" t="s">
        <v>559</v>
      </c>
      <c r="G130" s="4" t="s">
        <v>698</v>
      </c>
      <c r="H130" s="4" t="s">
        <v>3</v>
      </c>
      <c r="J130" s="4" t="s">
        <v>23</v>
      </c>
      <c r="K130" s="12">
        <v>46200</v>
      </c>
    </row>
    <row r="131" spans="1:11" x14ac:dyDescent="0.3">
      <c r="A131" s="4" t="s">
        <v>153</v>
      </c>
      <c r="B131" s="4" t="s">
        <v>151</v>
      </c>
      <c r="C131" s="4" t="s">
        <v>303</v>
      </c>
      <c r="D131" s="4" t="s">
        <v>341</v>
      </c>
      <c r="E131" s="4" t="s">
        <v>432</v>
      </c>
      <c r="F131" s="4" t="s">
        <v>303</v>
      </c>
      <c r="G131" s="4" t="s">
        <v>699</v>
      </c>
      <c r="H131" s="4" t="s">
        <v>3</v>
      </c>
      <c r="J131" s="4" t="s">
        <v>23</v>
      </c>
      <c r="K131" s="12">
        <v>46200</v>
      </c>
    </row>
    <row r="132" spans="1:11" x14ac:dyDescent="0.3">
      <c r="A132" s="4" t="s">
        <v>154</v>
      </c>
    </row>
    <row r="133" spans="1:11" ht="43.2" x14ac:dyDescent="0.3">
      <c r="A133" s="4" t="s">
        <v>155</v>
      </c>
      <c r="B133" s="4" t="s">
        <v>154</v>
      </c>
      <c r="C133" s="4" t="s">
        <v>304</v>
      </c>
      <c r="D133" s="4" t="s">
        <v>340</v>
      </c>
      <c r="E133" s="4" t="s">
        <v>433</v>
      </c>
      <c r="F133" s="4" t="s">
        <v>560</v>
      </c>
      <c r="G133" s="4" t="s">
        <v>700</v>
      </c>
      <c r="H133" s="4" t="s">
        <v>3</v>
      </c>
      <c r="J133" s="4" t="s">
        <v>23</v>
      </c>
      <c r="K133" s="12">
        <v>46200</v>
      </c>
    </row>
    <row r="134" spans="1:11" ht="28.8" x14ac:dyDescent="0.3">
      <c r="A134" s="4" t="s">
        <v>156</v>
      </c>
      <c r="B134" s="4" t="s">
        <v>154</v>
      </c>
      <c r="C134" s="4" t="s">
        <v>305</v>
      </c>
      <c r="D134" s="4" t="s">
        <v>340</v>
      </c>
      <c r="E134" s="4" t="s">
        <v>434</v>
      </c>
      <c r="F134" s="4" t="s">
        <v>561</v>
      </c>
      <c r="G134" s="4" t="s">
        <v>701</v>
      </c>
      <c r="H134" s="4" t="s">
        <v>3</v>
      </c>
      <c r="J134" s="4" t="s">
        <v>23</v>
      </c>
      <c r="K134" s="12">
        <v>46200</v>
      </c>
    </row>
    <row r="135" spans="1:11" x14ac:dyDescent="0.3">
      <c r="A135" s="4" t="s">
        <v>157</v>
      </c>
      <c r="B135" s="4" t="s">
        <v>154</v>
      </c>
      <c r="C135" s="4" t="s">
        <v>306</v>
      </c>
      <c r="D135" s="4" t="s">
        <v>341</v>
      </c>
      <c r="E135" s="4" t="s">
        <v>435</v>
      </c>
      <c r="F135" s="4" t="s">
        <v>562</v>
      </c>
      <c r="G135" s="4" t="s">
        <v>702</v>
      </c>
      <c r="H135" s="4" t="s">
        <v>3</v>
      </c>
      <c r="J135" s="4" t="s">
        <v>23</v>
      </c>
      <c r="K135" s="12">
        <v>46200</v>
      </c>
    </row>
    <row r="136" spans="1:11" ht="28.8" x14ac:dyDescent="0.3">
      <c r="A136" s="4" t="s">
        <v>158</v>
      </c>
      <c r="B136" s="4" t="s">
        <v>154</v>
      </c>
      <c r="C136" s="4" t="s">
        <v>307</v>
      </c>
      <c r="D136" s="4" t="s">
        <v>341</v>
      </c>
      <c r="E136" s="4" t="s">
        <v>436</v>
      </c>
      <c r="F136" s="4" t="s">
        <v>563</v>
      </c>
      <c r="G136" s="4" t="s">
        <v>703</v>
      </c>
      <c r="H136" s="4" t="s">
        <v>3</v>
      </c>
      <c r="J136" s="4" t="s">
        <v>23</v>
      </c>
      <c r="K136" s="12">
        <v>46200</v>
      </c>
    </row>
    <row r="137" spans="1:11" ht="187.2" x14ac:dyDescent="0.3">
      <c r="A137" s="4" t="s">
        <v>159</v>
      </c>
      <c r="B137" s="4" t="s">
        <v>154</v>
      </c>
      <c r="C137" s="4" t="s">
        <v>308</v>
      </c>
      <c r="D137" s="4" t="s">
        <v>339</v>
      </c>
      <c r="E137" s="4" t="s">
        <v>437</v>
      </c>
      <c r="F137" s="4" t="s">
        <v>564</v>
      </c>
      <c r="G137" s="4" t="s">
        <v>704</v>
      </c>
      <c r="H137" s="4" t="s">
        <v>5</v>
      </c>
      <c r="I137" s="4" t="s">
        <v>779</v>
      </c>
      <c r="J137" s="4" t="s">
        <v>23</v>
      </c>
      <c r="K137" s="12">
        <v>46200</v>
      </c>
    </row>
    <row r="138" spans="1:11" x14ac:dyDescent="0.3">
      <c r="A138" s="4" t="s">
        <v>160</v>
      </c>
    </row>
    <row r="139" spans="1:11" ht="28.8" x14ac:dyDescent="0.3">
      <c r="A139" s="4" t="s">
        <v>161</v>
      </c>
      <c r="B139" s="4" t="s">
        <v>160</v>
      </c>
      <c r="C139" s="4" t="s">
        <v>309</v>
      </c>
      <c r="D139" s="4" t="s">
        <v>339</v>
      </c>
      <c r="E139" s="4" t="s">
        <v>438</v>
      </c>
      <c r="F139" s="4" t="s">
        <v>565</v>
      </c>
      <c r="G139" s="4" t="s">
        <v>705</v>
      </c>
      <c r="H139" s="4" t="s">
        <v>3</v>
      </c>
      <c r="J139" s="4" t="s">
        <v>23</v>
      </c>
      <c r="K139" s="12">
        <v>46200</v>
      </c>
    </row>
    <row r="140" spans="1:11" ht="28.8" x14ac:dyDescent="0.3">
      <c r="A140" s="4" t="s">
        <v>162</v>
      </c>
      <c r="B140" s="4" t="s">
        <v>160</v>
      </c>
      <c r="C140" s="4" t="s">
        <v>310</v>
      </c>
      <c r="D140" s="4" t="s">
        <v>339</v>
      </c>
      <c r="E140" s="4" t="s">
        <v>439</v>
      </c>
      <c r="F140" s="4" t="s">
        <v>566</v>
      </c>
      <c r="G140" s="4" t="s">
        <v>706</v>
      </c>
      <c r="H140" s="4" t="s">
        <v>3</v>
      </c>
      <c r="J140" s="4" t="s">
        <v>23</v>
      </c>
      <c r="K140" s="12">
        <v>46200</v>
      </c>
    </row>
    <row r="141" spans="1:11" x14ac:dyDescent="0.3">
      <c r="A141" s="4" t="s">
        <v>163</v>
      </c>
    </row>
    <row r="142" spans="1:11" ht="28.8" x14ac:dyDescent="0.3">
      <c r="A142" s="4" t="s">
        <v>164</v>
      </c>
      <c r="B142" s="4" t="s">
        <v>163</v>
      </c>
      <c r="C142" s="4" t="s">
        <v>311</v>
      </c>
      <c r="D142" s="4" t="s">
        <v>340</v>
      </c>
      <c r="E142" s="4" t="s">
        <v>440</v>
      </c>
      <c r="F142" s="4" t="s">
        <v>567</v>
      </c>
      <c r="G142" s="4" t="s">
        <v>707</v>
      </c>
      <c r="H142" s="4" t="s">
        <v>3</v>
      </c>
      <c r="J142" s="4" t="s">
        <v>23</v>
      </c>
      <c r="K142" s="12">
        <v>46200</v>
      </c>
    </row>
    <row r="143" spans="1:11" x14ac:dyDescent="0.3">
      <c r="A143" s="4" t="s">
        <v>165</v>
      </c>
    </row>
    <row r="144" spans="1:11" x14ac:dyDescent="0.3">
      <c r="A144" s="4" t="s">
        <v>166</v>
      </c>
      <c r="B144" s="4" t="s">
        <v>165</v>
      </c>
      <c r="C144" s="4" t="s">
        <v>312</v>
      </c>
      <c r="D144" s="4" t="s">
        <v>341</v>
      </c>
      <c r="E144" s="4" t="s">
        <v>441</v>
      </c>
      <c r="F144" s="4" t="s">
        <v>568</v>
      </c>
      <c r="G144" s="4" t="s">
        <v>708</v>
      </c>
      <c r="H144" s="4" t="s">
        <v>3</v>
      </c>
      <c r="J144" s="4" t="s">
        <v>23</v>
      </c>
      <c r="K144" s="12">
        <v>46200</v>
      </c>
    </row>
    <row r="145" spans="1:11" ht="28.8" x14ac:dyDescent="0.3">
      <c r="A145" s="4" t="s">
        <v>167</v>
      </c>
      <c r="B145" s="4" t="s">
        <v>165</v>
      </c>
      <c r="C145" s="4" t="s">
        <v>313</v>
      </c>
      <c r="D145" s="4" t="s">
        <v>341</v>
      </c>
      <c r="E145" s="4" t="s">
        <v>442</v>
      </c>
      <c r="F145" s="4" t="s">
        <v>569</v>
      </c>
      <c r="G145" s="4" t="s">
        <v>709</v>
      </c>
      <c r="H145" s="4" t="s">
        <v>3</v>
      </c>
      <c r="J145" s="4" t="s">
        <v>23</v>
      </c>
      <c r="K145" s="12">
        <v>46200</v>
      </c>
    </row>
    <row r="146" spans="1:11" x14ac:dyDescent="0.3">
      <c r="A146" s="4" t="s">
        <v>168</v>
      </c>
    </row>
    <row r="147" spans="1:11" ht="57.6" x14ac:dyDescent="0.3">
      <c r="A147" s="4" t="s">
        <v>169</v>
      </c>
      <c r="B147" s="4" t="s">
        <v>168</v>
      </c>
      <c r="C147" s="4" t="s">
        <v>314</v>
      </c>
      <c r="D147" s="4" t="s">
        <v>340</v>
      </c>
      <c r="E147" s="4" t="s">
        <v>355</v>
      </c>
      <c r="F147" s="4" t="s">
        <v>570</v>
      </c>
      <c r="G147" s="4" t="s">
        <v>710</v>
      </c>
      <c r="H147" s="4" t="s">
        <v>3</v>
      </c>
      <c r="J147" s="4" t="s">
        <v>23</v>
      </c>
      <c r="K147" s="12">
        <v>46200</v>
      </c>
    </row>
    <row r="148" spans="1:11" ht="57.6" x14ac:dyDescent="0.3">
      <c r="A148" s="4" t="s">
        <v>170</v>
      </c>
      <c r="B148" s="4" t="s">
        <v>168</v>
      </c>
      <c r="C148" s="4" t="s">
        <v>315</v>
      </c>
      <c r="D148" s="4" t="s">
        <v>341</v>
      </c>
      <c r="E148" s="4" t="s">
        <v>443</v>
      </c>
      <c r="F148" s="4" t="s">
        <v>571</v>
      </c>
      <c r="G148" s="4" t="s">
        <v>711</v>
      </c>
      <c r="H148" s="4" t="s">
        <v>3</v>
      </c>
      <c r="J148" s="4" t="s">
        <v>23</v>
      </c>
      <c r="K148" s="12">
        <v>46200</v>
      </c>
    </row>
    <row r="149" spans="1:11" x14ac:dyDescent="0.3">
      <c r="A149" s="4" t="s">
        <v>171</v>
      </c>
    </row>
    <row r="150" spans="1:11" ht="28.8" x14ac:dyDescent="0.3">
      <c r="A150" s="4" t="s">
        <v>172</v>
      </c>
      <c r="B150" s="4" t="s">
        <v>171</v>
      </c>
      <c r="C150" s="4" t="s">
        <v>316</v>
      </c>
      <c r="D150" s="4" t="s">
        <v>339</v>
      </c>
      <c r="E150" s="4" t="s">
        <v>444</v>
      </c>
      <c r="F150" s="4" t="s">
        <v>572</v>
      </c>
      <c r="G150" s="4" t="s">
        <v>712</v>
      </c>
      <c r="H150" s="4" t="s">
        <v>3</v>
      </c>
      <c r="J150" s="4" t="s">
        <v>23</v>
      </c>
      <c r="K150" s="12">
        <v>46200</v>
      </c>
    </row>
    <row r="151" spans="1:11" ht="28.8" x14ac:dyDescent="0.3">
      <c r="A151" s="4" t="s">
        <v>173</v>
      </c>
      <c r="B151" s="4" t="s">
        <v>171</v>
      </c>
      <c r="C151" s="4" t="s">
        <v>317</v>
      </c>
      <c r="D151" s="4" t="s">
        <v>339</v>
      </c>
      <c r="E151" s="4" t="s">
        <v>445</v>
      </c>
      <c r="F151" s="4" t="s">
        <v>573</v>
      </c>
      <c r="G151" s="4" t="s">
        <v>713</v>
      </c>
      <c r="H151" s="4" t="s">
        <v>3</v>
      </c>
      <c r="J151" s="4" t="s">
        <v>23</v>
      </c>
      <c r="K151" s="12">
        <v>46200</v>
      </c>
    </row>
    <row r="152" spans="1:11" ht="28.8" x14ac:dyDescent="0.3">
      <c r="A152" s="4" t="s">
        <v>174</v>
      </c>
      <c r="B152" s="4" t="s">
        <v>171</v>
      </c>
      <c r="C152" s="4" t="s">
        <v>318</v>
      </c>
      <c r="D152" s="4" t="s">
        <v>340</v>
      </c>
      <c r="E152" s="4" t="s">
        <v>446</v>
      </c>
      <c r="F152" s="4" t="s">
        <v>574</v>
      </c>
      <c r="G152" s="4" t="s">
        <v>714</v>
      </c>
      <c r="H152" s="4" t="s">
        <v>3</v>
      </c>
      <c r="J152" s="4" t="s">
        <v>23</v>
      </c>
      <c r="K152" s="12">
        <v>46200</v>
      </c>
    </row>
    <row r="153" spans="1:11" ht="72" x14ac:dyDescent="0.3">
      <c r="A153" s="4" t="s">
        <v>175</v>
      </c>
      <c r="B153" s="4" t="s">
        <v>171</v>
      </c>
      <c r="C153" s="4" t="s">
        <v>319</v>
      </c>
      <c r="D153" s="4" t="s">
        <v>340</v>
      </c>
      <c r="E153" s="4" t="s">
        <v>447</v>
      </c>
      <c r="F153" s="4" t="s">
        <v>575</v>
      </c>
      <c r="G153" s="4" t="s">
        <v>715</v>
      </c>
      <c r="H153" s="4" t="s">
        <v>3</v>
      </c>
      <c r="J153" s="4" t="s">
        <v>23</v>
      </c>
      <c r="K153" s="12">
        <v>46200</v>
      </c>
    </row>
    <row r="154" spans="1:11" ht="72" x14ac:dyDescent="0.3">
      <c r="A154" s="4" t="s">
        <v>176</v>
      </c>
      <c r="B154" s="4" t="s">
        <v>171</v>
      </c>
      <c r="C154" s="4" t="s">
        <v>320</v>
      </c>
      <c r="D154" s="4" t="s">
        <v>340</v>
      </c>
      <c r="E154" s="4" t="s">
        <v>448</v>
      </c>
      <c r="F154" s="4" t="s">
        <v>576</v>
      </c>
      <c r="G154" s="4" t="s">
        <v>716</v>
      </c>
      <c r="H154" s="4" t="s">
        <v>3</v>
      </c>
      <c r="J154" s="4" t="s">
        <v>23</v>
      </c>
      <c r="K154" s="12">
        <v>46200</v>
      </c>
    </row>
    <row r="155" spans="1:11" ht="43.2" x14ac:dyDescent="0.3">
      <c r="A155" s="4" t="s">
        <v>177</v>
      </c>
      <c r="B155" s="4" t="s">
        <v>171</v>
      </c>
      <c r="C155" s="4" t="s">
        <v>321</v>
      </c>
      <c r="D155" s="4" t="s">
        <v>341</v>
      </c>
      <c r="E155" s="4" t="s">
        <v>449</v>
      </c>
      <c r="F155" s="4" t="s">
        <v>577</v>
      </c>
      <c r="G155" s="4" t="s">
        <v>717</v>
      </c>
      <c r="H155" s="4" t="s">
        <v>3</v>
      </c>
      <c r="J155" s="4" t="s">
        <v>23</v>
      </c>
      <c r="K155" s="12">
        <v>46200</v>
      </c>
    </row>
    <row r="156" spans="1:11" ht="28.8" x14ac:dyDescent="0.3">
      <c r="A156" s="4" t="s">
        <v>178</v>
      </c>
    </row>
    <row r="157" spans="1:11" ht="43.2" x14ac:dyDescent="0.3">
      <c r="A157" s="4" t="s">
        <v>179</v>
      </c>
      <c r="B157" s="4" t="s">
        <v>178</v>
      </c>
      <c r="C157" s="4" t="s">
        <v>322</v>
      </c>
      <c r="D157" s="4" t="s">
        <v>340</v>
      </c>
      <c r="E157" s="4" t="s">
        <v>450</v>
      </c>
      <c r="F157" s="4" t="s">
        <v>578</v>
      </c>
      <c r="G157" s="4" t="s">
        <v>718</v>
      </c>
      <c r="H157" s="4" t="s">
        <v>3</v>
      </c>
      <c r="J157" s="4" t="s">
        <v>23</v>
      </c>
      <c r="K157" s="12">
        <v>46200</v>
      </c>
    </row>
    <row r="158" spans="1:11" ht="43.2" x14ac:dyDescent="0.3">
      <c r="A158" s="4" t="s">
        <v>180</v>
      </c>
      <c r="B158" s="4" t="s">
        <v>178</v>
      </c>
      <c r="C158" s="4" t="s">
        <v>323</v>
      </c>
      <c r="D158" s="4" t="s">
        <v>340</v>
      </c>
      <c r="E158" s="4" t="s">
        <v>451</v>
      </c>
      <c r="F158" s="4" t="s">
        <v>579</v>
      </c>
      <c r="G158" s="4" t="s">
        <v>719</v>
      </c>
      <c r="H158" s="4" t="s">
        <v>3</v>
      </c>
      <c r="J158" s="4" t="s">
        <v>23</v>
      </c>
      <c r="K158" s="12">
        <v>46200</v>
      </c>
    </row>
    <row r="159" spans="1:11" ht="43.2" x14ac:dyDescent="0.3">
      <c r="A159" s="4" t="s">
        <v>181</v>
      </c>
      <c r="B159" s="4" t="s">
        <v>178</v>
      </c>
      <c r="C159" s="4" t="s">
        <v>324</v>
      </c>
      <c r="D159" s="4" t="s">
        <v>340</v>
      </c>
      <c r="E159" s="4" t="s">
        <v>452</v>
      </c>
      <c r="F159" s="4" t="s">
        <v>580</v>
      </c>
      <c r="G159" s="4" t="s">
        <v>720</v>
      </c>
      <c r="H159" s="4" t="s">
        <v>3</v>
      </c>
      <c r="J159" s="4" t="s">
        <v>23</v>
      </c>
      <c r="K159" s="12">
        <v>46200</v>
      </c>
    </row>
    <row r="160" spans="1:11" ht="57.6" x14ac:dyDescent="0.3">
      <c r="A160" s="4" t="s">
        <v>182</v>
      </c>
      <c r="B160" s="4" t="s">
        <v>178</v>
      </c>
      <c r="C160" s="4" t="s">
        <v>325</v>
      </c>
      <c r="D160" s="4" t="s">
        <v>340</v>
      </c>
      <c r="E160" s="4" t="s">
        <v>453</v>
      </c>
      <c r="F160" s="4" t="s">
        <v>581</v>
      </c>
      <c r="G160" s="4" t="s">
        <v>721</v>
      </c>
      <c r="H160" s="4" t="s">
        <v>3</v>
      </c>
      <c r="J160" s="4" t="s">
        <v>23</v>
      </c>
      <c r="K160" s="12">
        <v>46200</v>
      </c>
    </row>
    <row r="161" spans="1:11" ht="28.8" x14ac:dyDescent="0.3">
      <c r="A161" s="4" t="s">
        <v>183</v>
      </c>
      <c r="B161" s="4" t="s">
        <v>178</v>
      </c>
      <c r="C161" s="4" t="s">
        <v>326</v>
      </c>
      <c r="D161" s="4" t="s">
        <v>341</v>
      </c>
      <c r="E161" s="4" t="s">
        <v>454</v>
      </c>
      <c r="F161" s="4" t="s">
        <v>582</v>
      </c>
      <c r="G161" s="4" t="s">
        <v>722</v>
      </c>
      <c r="H161" s="4" t="s">
        <v>3</v>
      </c>
      <c r="J161" s="4" t="s">
        <v>23</v>
      </c>
      <c r="K161" s="12">
        <v>46200</v>
      </c>
    </row>
    <row r="162" spans="1:11" ht="57.6" x14ac:dyDescent="0.3">
      <c r="A162" s="4" t="s">
        <v>184</v>
      </c>
      <c r="B162" s="4" t="s">
        <v>178</v>
      </c>
      <c r="C162" s="4" t="s">
        <v>327</v>
      </c>
      <c r="D162" s="4" t="s">
        <v>341</v>
      </c>
      <c r="E162" s="4" t="s">
        <v>455</v>
      </c>
      <c r="F162" s="4" t="s">
        <v>583</v>
      </c>
      <c r="G162" s="4" t="s">
        <v>723</v>
      </c>
      <c r="H162" s="4" t="s">
        <v>3</v>
      </c>
      <c r="J162" s="4" t="s">
        <v>23</v>
      </c>
      <c r="K162" s="12">
        <v>46200</v>
      </c>
    </row>
    <row r="163" spans="1:11" x14ac:dyDescent="0.3">
      <c r="A163" s="4" t="s">
        <v>185</v>
      </c>
    </row>
    <row r="164" spans="1:11" ht="43.2" x14ac:dyDescent="0.3">
      <c r="A164" s="4" t="s">
        <v>186</v>
      </c>
      <c r="B164" s="4" t="s">
        <v>185</v>
      </c>
      <c r="C164" s="4" t="s">
        <v>328</v>
      </c>
      <c r="D164" s="4" t="s">
        <v>340</v>
      </c>
      <c r="E164" s="4" t="s">
        <v>456</v>
      </c>
      <c r="F164" s="4" t="s">
        <v>584</v>
      </c>
      <c r="G164" s="4" t="s">
        <v>724</v>
      </c>
      <c r="H164" s="4" t="s">
        <v>3</v>
      </c>
      <c r="J164" s="4" t="s">
        <v>23</v>
      </c>
      <c r="K164" s="12">
        <v>46200</v>
      </c>
    </row>
    <row r="165" spans="1:11" ht="28.8" x14ac:dyDescent="0.3">
      <c r="A165" s="4" t="s">
        <v>187</v>
      </c>
      <c r="B165" s="4" t="s">
        <v>185</v>
      </c>
      <c r="C165" s="4" t="s">
        <v>329</v>
      </c>
      <c r="D165" s="4" t="s">
        <v>340</v>
      </c>
      <c r="E165" s="4" t="s">
        <v>457</v>
      </c>
      <c r="F165" s="4" t="s">
        <v>585</v>
      </c>
      <c r="G165" s="11" t="s">
        <v>780</v>
      </c>
      <c r="H165" s="4" t="s">
        <v>3</v>
      </c>
      <c r="J165" s="4" t="s">
        <v>23</v>
      </c>
      <c r="K165" s="12">
        <v>46200</v>
      </c>
    </row>
    <row r="166" spans="1:11" ht="72" x14ac:dyDescent="0.3">
      <c r="A166" s="4" t="s">
        <v>188</v>
      </c>
      <c r="B166" s="4" t="s">
        <v>185</v>
      </c>
      <c r="C166" s="4" t="s">
        <v>330</v>
      </c>
      <c r="D166" s="4" t="s">
        <v>341</v>
      </c>
      <c r="E166" s="4" t="s">
        <v>458</v>
      </c>
      <c r="F166" s="4" t="s">
        <v>586</v>
      </c>
      <c r="G166" s="4" t="s">
        <v>725</v>
      </c>
      <c r="H166" s="4" t="s">
        <v>9</v>
      </c>
      <c r="I166" s="4" t="s">
        <v>783</v>
      </c>
      <c r="J166" s="4" t="s">
        <v>23</v>
      </c>
      <c r="K166" s="12">
        <v>46200</v>
      </c>
    </row>
    <row r="167" spans="1:11" ht="43.2" x14ac:dyDescent="0.3">
      <c r="A167" s="4" t="s">
        <v>189</v>
      </c>
      <c r="B167" s="4" t="s">
        <v>185</v>
      </c>
      <c r="C167" s="4" t="s">
        <v>331</v>
      </c>
      <c r="D167" s="4" t="s">
        <v>340</v>
      </c>
      <c r="E167" s="4" t="s">
        <v>459</v>
      </c>
      <c r="F167" s="4" t="s">
        <v>781</v>
      </c>
      <c r="G167" s="4" t="s">
        <v>726</v>
      </c>
      <c r="H167" s="4" t="s">
        <v>3</v>
      </c>
      <c r="J167" s="4" t="s">
        <v>23</v>
      </c>
      <c r="K167" s="12">
        <v>46200</v>
      </c>
    </row>
    <row r="168" spans="1:11" ht="28.8" x14ac:dyDescent="0.3">
      <c r="A168" s="4" t="s">
        <v>190</v>
      </c>
      <c r="B168" s="4" t="s">
        <v>185</v>
      </c>
      <c r="C168" s="4" t="s">
        <v>332</v>
      </c>
      <c r="D168" s="4" t="s">
        <v>341</v>
      </c>
      <c r="E168" s="4" t="s">
        <v>459</v>
      </c>
      <c r="F168" s="4" t="s">
        <v>587</v>
      </c>
      <c r="G168" s="4" t="s">
        <v>727</v>
      </c>
      <c r="H168" s="4" t="s">
        <v>3</v>
      </c>
      <c r="J168" s="4" t="s">
        <v>23</v>
      </c>
      <c r="K168" s="12">
        <v>46200</v>
      </c>
    </row>
    <row r="169" spans="1:11" ht="28.8" x14ac:dyDescent="0.3">
      <c r="A169" s="4" t="s">
        <v>191</v>
      </c>
      <c r="B169" s="4" t="s">
        <v>185</v>
      </c>
      <c r="C169" s="4" t="s">
        <v>333</v>
      </c>
      <c r="D169" s="4" t="s">
        <v>341</v>
      </c>
      <c r="E169" s="4" t="s">
        <v>460</v>
      </c>
      <c r="F169" s="4" t="s">
        <v>588</v>
      </c>
      <c r="G169" s="4" t="s">
        <v>728</v>
      </c>
      <c r="H169" s="4" t="s">
        <v>3</v>
      </c>
      <c r="J169" s="4" t="s">
        <v>23</v>
      </c>
      <c r="K169" s="12">
        <v>46200</v>
      </c>
    </row>
    <row r="170" spans="1:11" x14ac:dyDescent="0.3">
      <c r="A170" s="4" t="s">
        <v>192</v>
      </c>
    </row>
    <row r="171" spans="1:11" ht="28.8" x14ac:dyDescent="0.3">
      <c r="A171" s="4" t="s">
        <v>193</v>
      </c>
      <c r="B171" s="4" t="s">
        <v>192</v>
      </c>
      <c r="C171" s="4" t="s">
        <v>334</v>
      </c>
      <c r="D171" s="4" t="s">
        <v>340</v>
      </c>
      <c r="E171" s="4" t="s">
        <v>461</v>
      </c>
      <c r="F171" s="4" t="s">
        <v>589</v>
      </c>
      <c r="G171" s="4" t="s">
        <v>729</v>
      </c>
      <c r="H171" s="4" t="s">
        <v>3</v>
      </c>
      <c r="J171" s="4" t="s">
        <v>23</v>
      </c>
      <c r="K171" s="12">
        <v>46200</v>
      </c>
    </row>
    <row r="172" spans="1:11" x14ac:dyDescent="0.3">
      <c r="A172" s="4" t="s">
        <v>194</v>
      </c>
      <c r="B172" s="4" t="s">
        <v>192</v>
      </c>
      <c r="C172" s="4" t="s">
        <v>335</v>
      </c>
      <c r="D172" s="4" t="s">
        <v>341</v>
      </c>
      <c r="E172" s="4" t="s">
        <v>462</v>
      </c>
      <c r="F172" s="4" t="s">
        <v>590</v>
      </c>
      <c r="G172" s="4" t="s">
        <v>730</v>
      </c>
      <c r="H172" s="4" t="s">
        <v>3</v>
      </c>
      <c r="J172" s="4" t="s">
        <v>23</v>
      </c>
      <c r="K172" s="12">
        <v>46200</v>
      </c>
    </row>
    <row r="173" spans="1:11" x14ac:dyDescent="0.3">
      <c r="A173" s="4" t="s">
        <v>195</v>
      </c>
      <c r="B173" s="4" t="s">
        <v>192</v>
      </c>
      <c r="C173" s="4" t="s">
        <v>336</v>
      </c>
      <c r="D173" s="4" t="s">
        <v>340</v>
      </c>
      <c r="E173" s="4" t="s">
        <v>463</v>
      </c>
      <c r="F173" s="4" t="s">
        <v>591</v>
      </c>
      <c r="G173" s="4" t="s">
        <v>731</v>
      </c>
      <c r="H173" s="4" t="s">
        <v>3</v>
      </c>
      <c r="J173" s="4" t="s">
        <v>23</v>
      </c>
      <c r="K173" s="12">
        <v>46200</v>
      </c>
    </row>
    <row r="174" spans="1:11" x14ac:dyDescent="0.3">
      <c r="A174" s="4" t="s">
        <v>196</v>
      </c>
      <c r="B174" s="4" t="s">
        <v>192</v>
      </c>
      <c r="C174" s="4" t="s">
        <v>337</v>
      </c>
      <c r="D174" s="4" t="s">
        <v>341</v>
      </c>
      <c r="E174" s="4" t="s">
        <v>464</v>
      </c>
      <c r="F174" s="4" t="s">
        <v>592</v>
      </c>
      <c r="G174" s="4" t="s">
        <v>732</v>
      </c>
      <c r="H174" s="4" t="s">
        <v>3</v>
      </c>
      <c r="J174" s="4" t="s">
        <v>23</v>
      </c>
      <c r="K174" s="12">
        <v>46200</v>
      </c>
    </row>
    <row r="175" spans="1:11" ht="57.6" x14ac:dyDescent="0.3">
      <c r="A175" s="4" t="s">
        <v>197</v>
      </c>
      <c r="B175" s="4" t="s">
        <v>192</v>
      </c>
      <c r="C175" s="4" t="s">
        <v>338</v>
      </c>
      <c r="D175" s="4" t="s">
        <v>340</v>
      </c>
      <c r="E175" s="4" t="s">
        <v>465</v>
      </c>
      <c r="F175" s="4" t="s">
        <v>593</v>
      </c>
      <c r="G175" s="4" t="s">
        <v>733</v>
      </c>
      <c r="H175" s="4" t="s">
        <v>3</v>
      </c>
      <c r="J175" s="4" t="s">
        <v>23</v>
      </c>
      <c r="K175" s="12">
        <v>46200</v>
      </c>
    </row>
  </sheetData>
  <autoFilter ref="A1:K175" xr:uid="{00000000-0009-0000-0000-000001000000}"/>
  <conditionalFormatting sqref="H2:H105 H107:H175">
    <cfRule type="cellIs" dxfId="9" priority="6" operator="equal">
      <formula>"Pass"</formula>
    </cfRule>
    <cfRule type="cellIs" dxfId="8" priority="7" operator="equal">
      <formula>"Fail"</formula>
    </cfRule>
    <cfRule type="cellIs" dxfId="7" priority="8" operator="equal">
      <formula>"Partial"</formula>
    </cfRule>
    <cfRule type="cellIs" dxfId="6" priority="9" operator="equal">
      <formula>"N/A"</formula>
    </cfRule>
    <cfRule type="cellIs" dxfId="5" priority="10" operator="equal">
      <formula>"Not run"</formula>
    </cfRule>
  </conditionalFormatting>
  <conditionalFormatting sqref="H106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"Partial"</formula>
    </cfRule>
    <cfRule type="cellIs" dxfId="1" priority="4" operator="equal">
      <formula>"N/A"</formula>
    </cfRule>
    <cfRule type="cellIs" dxfId="0" priority="5" operator="equal">
      <formula>"Not run"</formula>
    </cfRule>
  </conditionalFormatting>
  <dataValidations count="1">
    <dataValidation type="list" allowBlank="1" showInputMessage="1" showErrorMessage="1" sqref="H2:H175" xr:uid="{00000000-0002-0000-0100-000000000000}">
      <formula1>"Pass,Fail,Partial,N/A,Not run"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tabSelected="1" workbookViewId="0">
      <selection activeCell="D15" sqref="D15"/>
    </sheetView>
  </sheetViews>
  <sheetFormatPr defaultRowHeight="14.4" x14ac:dyDescent="0.3"/>
  <cols>
    <col min="1" max="1" width="35.6640625" style="4" customWidth="1"/>
    <col min="2" max="5" width="15.6640625" style="4" customWidth="1"/>
  </cols>
  <sheetData>
    <row r="1" spans="1:5" x14ac:dyDescent="0.3">
      <c r="A1" s="9" t="s">
        <v>743</v>
      </c>
      <c r="B1" s="9" t="s">
        <v>744</v>
      </c>
    </row>
    <row r="2" spans="1:5" x14ac:dyDescent="0.3">
      <c r="A2" s="3" t="s">
        <v>3</v>
      </c>
      <c r="B2" s="4">
        <f>COUNTIF('Test Cases'!H:H, "Pass")</f>
        <v>130</v>
      </c>
    </row>
    <row r="3" spans="1:5" x14ac:dyDescent="0.3">
      <c r="A3" s="5" t="s">
        <v>5</v>
      </c>
      <c r="B3" s="4">
        <f>COUNTIF('Test Cases'!H:H, "Fail")</f>
        <v>4</v>
      </c>
    </row>
    <row r="4" spans="1:5" x14ac:dyDescent="0.3">
      <c r="A4" s="6" t="s">
        <v>7</v>
      </c>
      <c r="B4" s="4">
        <f>COUNTIF('Test Cases'!H:H, "Partial")</f>
        <v>5</v>
      </c>
    </row>
    <row r="5" spans="1:5" x14ac:dyDescent="0.3">
      <c r="A5" s="7" t="s">
        <v>9</v>
      </c>
      <c r="B5" s="4">
        <f>COUNTIF('Test Cases'!H:H, "N/A")</f>
        <v>2</v>
      </c>
    </row>
    <row r="6" spans="1:5" x14ac:dyDescent="0.3">
      <c r="A6" s="7" t="s">
        <v>11</v>
      </c>
      <c r="B6" s="4">
        <f>COUNTIF('Test Cases'!H:H, "Not run")</f>
        <v>1</v>
      </c>
    </row>
    <row r="7" spans="1:5" x14ac:dyDescent="0.3">
      <c r="A7" s="8" t="s">
        <v>745</v>
      </c>
      <c r="B7" s="8">
        <f>SUM(B2:B6)</f>
        <v>142</v>
      </c>
    </row>
    <row r="9" spans="1:5" x14ac:dyDescent="0.3">
      <c r="A9" s="9" t="s">
        <v>746</v>
      </c>
      <c r="B9" s="3" t="s">
        <v>3</v>
      </c>
      <c r="C9" s="5" t="s">
        <v>5</v>
      </c>
      <c r="D9" s="6" t="s">
        <v>7</v>
      </c>
      <c r="E9" s="7" t="s">
        <v>747</v>
      </c>
    </row>
    <row r="10" spans="1:5" x14ac:dyDescent="0.3">
      <c r="A10" s="4" t="s">
        <v>25</v>
      </c>
      <c r="B10" s="4">
        <f>COUNTIFS('Test Cases'!B:B, "Install &amp; load", 'Test Cases'!H:H, "Pass")</f>
        <v>3</v>
      </c>
      <c r="C10" s="4">
        <f>COUNTIFS('Test Cases'!B:B, "Install &amp; load", 'Test Cases'!H:H, "Fail")</f>
        <v>0</v>
      </c>
      <c r="D10" s="4">
        <f>COUNTIFS('Test Cases'!B:B, "Install &amp; load", 'Test Cases'!H:H, "Partial")</f>
        <v>1</v>
      </c>
      <c r="E10" s="4">
        <f>COUNTIFS('Test Cases'!B:B, "Install &amp; load", 'Test Cases'!H:H, "&lt;&gt;Pass", 'Test Cases'!H:H, "&lt;&gt;Fail", 'Test Cases'!H:H, "&lt;&gt;Partial", 'Test Cases'!H:H, "&lt;&gt;")</f>
        <v>0</v>
      </c>
    </row>
    <row r="11" spans="1:5" x14ac:dyDescent="0.3">
      <c r="A11" s="4" t="s">
        <v>30</v>
      </c>
      <c r="B11" s="4">
        <f>COUNTIFS('Test Cases'!B:B, "Popup — connection", 'Test Cases'!H:H, "Pass")</f>
        <v>5</v>
      </c>
      <c r="C11" s="4">
        <f>COUNTIFS('Test Cases'!B:B, "Popup — connection", 'Test Cases'!H:H, "Fail")</f>
        <v>0</v>
      </c>
      <c r="D11" s="4">
        <f>COUNTIFS('Test Cases'!B:B, "Popup — connection", 'Test Cases'!H:H, "Partial")</f>
        <v>0</v>
      </c>
      <c r="E11" s="4">
        <f>COUNTIFS('Test Cases'!B:B, "Popup — connection", 'Test Cases'!H:H, "&lt;&gt;Pass", 'Test Cases'!H:H, "&lt;&gt;Fail", 'Test Cases'!H:H, "&lt;&gt;Partial", 'Test Cases'!H:H, "&lt;&gt;")</f>
        <v>0</v>
      </c>
    </row>
    <row r="12" spans="1:5" x14ac:dyDescent="0.3">
      <c r="A12" s="4" t="s">
        <v>36</v>
      </c>
      <c r="B12" s="4">
        <f>COUNTIFS('Test Cases'!B:B, "Quick Insert", 'Test Cases'!H:H, "Pass")</f>
        <v>4</v>
      </c>
      <c r="C12" s="4">
        <f>COUNTIFS('Test Cases'!B:B, "Quick Insert", 'Test Cases'!H:H, "Fail")</f>
        <v>0</v>
      </c>
      <c r="D12" s="4">
        <f>COUNTIFS('Test Cases'!B:B, "Quick Insert", 'Test Cases'!H:H, "Partial")</f>
        <v>2</v>
      </c>
      <c r="E12" s="4">
        <f>COUNTIFS('Test Cases'!B:B, "Quick Insert", 'Test Cases'!H:H, "&lt;&gt;Pass", 'Test Cases'!H:H, "&lt;&gt;Fail", 'Test Cases'!H:H, "&lt;&gt;Partial", 'Test Cases'!H:H, "&lt;&gt;")</f>
        <v>0</v>
      </c>
    </row>
    <row r="13" spans="1:5" x14ac:dyDescent="0.3">
      <c r="A13" s="4" t="s">
        <v>43</v>
      </c>
      <c r="B13" s="4">
        <f>COUNTIFS('Test Cases'!B:B, "Core toggles", 'Test Cases'!H:H, "Pass")</f>
        <v>4</v>
      </c>
      <c r="C13" s="4">
        <f>COUNTIFS('Test Cases'!B:B, "Core toggles", 'Test Cases'!H:H, "Fail")</f>
        <v>0</v>
      </c>
      <c r="D13" s="4">
        <f>COUNTIFS('Test Cases'!B:B, "Core toggles", 'Test Cases'!H:H, "Partial")</f>
        <v>1</v>
      </c>
      <c r="E13" s="4">
        <f>COUNTIFS('Test Cases'!B:B, "Core toggles", 'Test Cases'!H:H, "&lt;&gt;Pass", 'Test Cases'!H:H, "&lt;&gt;Fail", 'Test Cases'!H:H, "&lt;&gt;Partial", 'Test Cases'!H:H, "&lt;&gt;")</f>
        <v>0</v>
      </c>
    </row>
    <row r="14" spans="1:5" x14ac:dyDescent="0.3">
      <c r="A14" s="4" t="s">
        <v>49</v>
      </c>
      <c r="B14" s="4">
        <f>COUNTIFS('Test Cases'!B:B, "Columns", 'Test Cases'!H:H, "Pass")</f>
        <v>3</v>
      </c>
      <c r="C14" s="4">
        <f>COUNTIFS('Test Cases'!B:B, "Columns", 'Test Cases'!H:H, "Fail")</f>
        <v>0</v>
      </c>
      <c r="D14" s="4">
        <f>COUNTIFS('Test Cases'!B:B, "Columns", 'Test Cases'!H:H, "Partial")</f>
        <v>0</v>
      </c>
      <c r="E14" s="4">
        <f>COUNTIFS('Test Cases'!B:B, "Columns", 'Test Cases'!H:H, "&lt;&gt;Pass", 'Test Cases'!H:H, "&lt;&gt;Fail", 'Test Cases'!H:H, "&lt;&gt;Partial", 'Test Cases'!H:H, "&lt;&gt;")</f>
        <v>0</v>
      </c>
    </row>
    <row r="15" spans="1:5" x14ac:dyDescent="0.3">
      <c r="A15" s="4" t="s">
        <v>53</v>
      </c>
      <c r="B15" s="4">
        <f>COUNTIFS('Test Cases'!B:B, "Process mappings", 'Test Cases'!H:H, "Pass")</f>
        <v>1</v>
      </c>
      <c r="C15" s="4">
        <f>COUNTIFS('Test Cases'!B:B, "Process mappings", 'Test Cases'!H:H, "Fail")</f>
        <v>0</v>
      </c>
      <c r="D15" s="4">
        <f>COUNTIFS('Test Cases'!B:B, "Process mappings", 'Test Cases'!H:H, "Partial")</f>
        <v>0</v>
      </c>
      <c r="E15" s="4">
        <f>COUNTIFS('Test Cases'!B:B, "Process mappings", 'Test Cases'!H:H, "&lt;&gt;Pass", 'Test Cases'!H:H, "&lt;&gt;Fail", 'Test Cases'!H:H, "&lt;&gt;Partial", 'Test Cases'!H:H, "&lt;&gt;")</f>
        <v>0</v>
      </c>
    </row>
    <row r="16" spans="1:5" x14ac:dyDescent="0.3">
      <c r="A16" s="4" t="s">
        <v>55</v>
      </c>
      <c r="B16" s="4">
        <f>COUNTIFS('Test Cases'!B:B, "Template upload", 'Test Cases'!H:H, "Pass")</f>
        <v>2</v>
      </c>
      <c r="C16" s="4">
        <f>COUNTIFS('Test Cases'!B:B, "Template upload", 'Test Cases'!H:H, "Fail")</f>
        <v>0</v>
      </c>
      <c r="D16" s="4">
        <f>COUNTIFS('Test Cases'!B:B, "Template upload", 'Test Cases'!H:H, "Partial")</f>
        <v>0</v>
      </c>
      <c r="E16" s="4">
        <f>COUNTIFS('Test Cases'!B:B, "Template upload", 'Test Cases'!H:H, "&lt;&gt;Pass", 'Test Cases'!H:H, "&lt;&gt;Fail", 'Test Cases'!H:H, "&lt;&gt;Partial", 'Test Cases'!H:H, "&lt;&gt;")</f>
        <v>0</v>
      </c>
    </row>
    <row r="17" spans="1:5" x14ac:dyDescent="0.3">
      <c r="A17" s="4" t="s">
        <v>58</v>
      </c>
      <c r="B17" s="4">
        <f>COUNTIFS('Test Cases'!B:B, "Theme", 'Test Cases'!H:H, "Pass")</f>
        <v>4</v>
      </c>
      <c r="C17" s="4">
        <f>COUNTIFS('Test Cases'!B:B, "Theme", 'Test Cases'!H:H, "Fail")</f>
        <v>0</v>
      </c>
      <c r="D17" s="4">
        <f>COUNTIFS('Test Cases'!B:B, "Theme", 'Test Cases'!H:H, "Partial")</f>
        <v>0</v>
      </c>
      <c r="E17" s="4">
        <f>COUNTIFS('Test Cases'!B:B, "Theme", 'Test Cases'!H:H, "&lt;&gt;Pass", 'Test Cases'!H:H, "&lt;&gt;Fail", 'Test Cases'!H:H, "&lt;&gt;Partial", 'Test Cases'!H:H, "&lt;&gt;")</f>
        <v>0</v>
      </c>
    </row>
    <row r="18" spans="1:5" x14ac:dyDescent="0.3">
      <c r="A18" s="4" t="s">
        <v>63</v>
      </c>
      <c r="B18" s="4">
        <f>COUNTIFS('Test Cases'!B:B, "Banners", 'Test Cases'!H:H, "Pass")</f>
        <v>3</v>
      </c>
      <c r="C18" s="4">
        <f>COUNTIFS('Test Cases'!B:B, "Banners", 'Test Cases'!H:H, "Fail")</f>
        <v>0</v>
      </c>
      <c r="D18" s="4">
        <f>COUNTIFS('Test Cases'!B:B, "Banners", 'Test Cases'!H:H, "Partial")</f>
        <v>0</v>
      </c>
      <c r="E18" s="4">
        <f>COUNTIFS('Test Cases'!B:B, "Banners", 'Test Cases'!H:H, "&lt;&gt;Pass", 'Test Cases'!H:H, "&lt;&gt;Fail", 'Test Cases'!H:H, "&lt;&gt;Partial", 'Test Cases'!H:H, "&lt;&gt;")</f>
        <v>0</v>
      </c>
    </row>
    <row r="19" spans="1:5" x14ac:dyDescent="0.3">
      <c r="A19" s="4" t="s">
        <v>67</v>
      </c>
      <c r="B19" s="4">
        <f>COUNTIFS('Test Cases'!B:B, "Right-click", 'Test Cases'!H:H, "Pass")</f>
        <v>10</v>
      </c>
      <c r="C19" s="4">
        <f>COUNTIFS('Test Cases'!B:B, "Right-click", 'Test Cases'!H:H, "Fail")</f>
        <v>0</v>
      </c>
      <c r="D19" s="4">
        <f>COUNTIFS('Test Cases'!B:B, "Right-click", 'Test Cases'!H:H, "Partial")</f>
        <v>0</v>
      </c>
      <c r="E19" s="4">
        <f>COUNTIFS('Test Cases'!B:B, "Right-click", 'Test Cases'!H:H, "&lt;&gt;Pass", 'Test Cases'!H:H, "&lt;&gt;Fail", 'Test Cases'!H:H, "&lt;&gt;Partial", 'Test Cases'!H:H, "&lt;&gt;")</f>
        <v>0</v>
      </c>
    </row>
    <row r="20" spans="1:5" x14ac:dyDescent="0.3">
      <c r="A20" s="4" t="s">
        <v>78</v>
      </c>
      <c r="B20" s="4">
        <f>COUNTIFS('Test Cases'!B:B, "Generated Material", 'Test Cases'!H:H, "Pass")</f>
        <v>3</v>
      </c>
      <c r="C20" s="4">
        <f>COUNTIFS('Test Cases'!B:B, "Generated Material", 'Test Cases'!H:H, "Fail")</f>
        <v>1</v>
      </c>
      <c r="D20" s="4">
        <f>COUNTIFS('Test Cases'!B:B, "Generated Material", 'Test Cases'!H:H, "Partial")</f>
        <v>1</v>
      </c>
      <c r="E20" s="4">
        <f>COUNTIFS('Test Cases'!B:B, "Generated Material", 'Test Cases'!H:H, "&lt;&gt;Pass", 'Test Cases'!H:H, "&lt;&gt;Fail", 'Test Cases'!H:H, "&lt;&gt;Partial", 'Test Cases'!H:H, "&lt;&gt;")</f>
        <v>0</v>
      </c>
    </row>
    <row r="21" spans="1:5" x14ac:dyDescent="0.3">
      <c r="A21" s="4" t="s">
        <v>84</v>
      </c>
      <c r="B21" s="4">
        <f>COUNTIFS('Test Cases'!B:B, "Templates", 'Test Cases'!H:H, "Pass")</f>
        <v>5</v>
      </c>
      <c r="C21" s="4">
        <f>COUNTIFS('Test Cases'!B:B, "Templates", 'Test Cases'!H:H, "Fail")</f>
        <v>1</v>
      </c>
      <c r="D21" s="4">
        <f>COUNTIFS('Test Cases'!B:B, "Templates", 'Test Cases'!H:H, "Partial")</f>
        <v>0</v>
      </c>
      <c r="E21" s="4">
        <f>COUNTIFS('Test Cases'!B:B, "Templates", 'Test Cases'!H:H, "&lt;&gt;Pass", 'Test Cases'!H:H, "&lt;&gt;Fail", 'Test Cases'!H:H, "&lt;&gt;Partial", 'Test Cases'!H:H, "&lt;&gt;")</f>
        <v>1</v>
      </c>
    </row>
    <row r="22" spans="1:5" x14ac:dyDescent="0.3">
      <c r="A22" s="4" t="s">
        <v>92</v>
      </c>
      <c r="B22" s="4">
        <f>COUNTIFS('Test Cases'!B:B, "Rich-text insert", 'Test Cases'!H:H, "Pass")</f>
        <v>5</v>
      </c>
      <c r="C22" s="4">
        <f>COUNTIFS('Test Cases'!B:B, "Rich-text insert", 'Test Cases'!H:H, "Fail")</f>
        <v>0</v>
      </c>
      <c r="D22" s="4">
        <f>COUNTIFS('Test Cases'!B:B, "Rich-text insert", 'Test Cases'!H:H, "Partial")</f>
        <v>0</v>
      </c>
      <c r="E22" s="4">
        <f>COUNTIFS('Test Cases'!B:B, "Rich-text insert", 'Test Cases'!H:H, "&lt;&gt;Pass", 'Test Cases'!H:H, "&lt;&gt;Fail", 'Test Cases'!H:H, "&lt;&gt;Partial", 'Test Cases'!H:H, "&lt;&gt;")</f>
        <v>0</v>
      </c>
    </row>
    <row r="23" spans="1:5" x14ac:dyDescent="0.3">
      <c r="A23" s="4" t="s">
        <v>98</v>
      </c>
      <c r="B23" s="4">
        <f>COUNTIFS('Test Cases'!B:B, "Notes format", 'Test Cases'!H:H, "Pass")</f>
        <v>1</v>
      </c>
      <c r="C23" s="4">
        <f>COUNTIFS('Test Cases'!B:B, "Notes format", 'Test Cases'!H:H, "Fail")</f>
        <v>0</v>
      </c>
      <c r="D23" s="4">
        <f>COUNTIFS('Test Cases'!B:B, "Notes format", 'Test Cases'!H:H, "Partial")</f>
        <v>0</v>
      </c>
      <c r="E23" s="4">
        <f>COUNTIFS('Test Cases'!B:B, "Notes format", 'Test Cases'!H:H, "&lt;&gt;Pass", 'Test Cases'!H:H, "&lt;&gt;Fail", 'Test Cases'!H:H, "&lt;&gt;Partial", 'Test Cases'!H:H, "&lt;&gt;")</f>
        <v>0</v>
      </c>
    </row>
    <row r="24" spans="1:5" x14ac:dyDescent="0.3">
      <c r="A24" s="4" t="s">
        <v>100</v>
      </c>
      <c r="B24" s="4">
        <f>COUNTIFS('Test Cases'!B:B, "Navigation", 'Test Cases'!H:H, "Pass")</f>
        <v>4</v>
      </c>
      <c r="C24" s="4">
        <f>COUNTIFS('Test Cases'!B:B, "Navigation", 'Test Cases'!H:H, "Fail")</f>
        <v>0</v>
      </c>
      <c r="D24" s="4">
        <f>COUNTIFS('Test Cases'!B:B, "Navigation", 'Test Cases'!H:H, "Partial")</f>
        <v>0</v>
      </c>
      <c r="E24" s="4">
        <f>COUNTIFS('Test Cases'!B:B, "Navigation", 'Test Cases'!H:H, "&lt;&gt;Pass", 'Test Cases'!H:H, "&lt;&gt;Fail", 'Test Cases'!H:H, "&lt;&gt;Partial", 'Test Cases'!H:H, "&lt;&gt;")</f>
        <v>0</v>
      </c>
    </row>
    <row r="25" spans="1:5" x14ac:dyDescent="0.3">
      <c r="A25" s="4" t="s">
        <v>105</v>
      </c>
      <c r="B25" s="4">
        <f>COUNTIFS('Test Cases'!B:B, "Case alias", 'Test Cases'!H:H, "Pass")</f>
        <v>4</v>
      </c>
      <c r="C25" s="4">
        <f>COUNTIFS('Test Cases'!B:B, "Case alias", 'Test Cases'!H:H, "Fail")</f>
        <v>0</v>
      </c>
      <c r="D25" s="4">
        <f>COUNTIFS('Test Cases'!B:B, "Case alias", 'Test Cases'!H:H, "Partial")</f>
        <v>0</v>
      </c>
      <c r="E25" s="4">
        <f>COUNTIFS('Test Cases'!B:B, "Case alias", 'Test Cases'!H:H, "&lt;&gt;Pass", 'Test Cases'!H:H, "&lt;&gt;Fail", 'Test Cases'!H:H, "&lt;&gt;Partial", 'Test Cases'!H:H, "&lt;&gt;")</f>
        <v>0</v>
      </c>
    </row>
    <row r="26" spans="1:5" x14ac:dyDescent="0.3">
      <c r="A26" s="4" t="s">
        <v>110</v>
      </c>
      <c r="B26" s="4">
        <f>COUNTIFS('Test Cases'!B:B, "Photo download", 'Test Cases'!H:H, "Pass")</f>
        <v>1</v>
      </c>
      <c r="C26" s="4">
        <f>COUNTIFS('Test Cases'!B:B, "Photo download", 'Test Cases'!H:H, "Fail")</f>
        <v>0</v>
      </c>
      <c r="D26" s="4">
        <f>COUNTIFS('Test Cases'!B:B, "Photo download", 'Test Cases'!H:H, "Partial")</f>
        <v>0</v>
      </c>
      <c r="E26" s="4">
        <f>COUNTIFS('Test Cases'!B:B, "Photo download", 'Test Cases'!H:H, "&lt;&gt;Pass", 'Test Cases'!H:H, "&lt;&gt;Fail", 'Test Cases'!H:H, "&lt;&gt;Partial", 'Test Cases'!H:H, "&lt;&gt;")</f>
        <v>1</v>
      </c>
    </row>
    <row r="27" spans="1:5" x14ac:dyDescent="0.3">
      <c r="A27" s="4" t="s">
        <v>113</v>
      </c>
      <c r="B27" s="4">
        <f>COUNTIFS('Test Cases'!B:B, "Case report", 'Test Cases'!H:H, "Pass")</f>
        <v>4</v>
      </c>
      <c r="C27" s="4">
        <f>COUNTIFS('Test Cases'!B:B, "Case report", 'Test Cases'!H:H, "Fail")</f>
        <v>0</v>
      </c>
      <c r="D27" s="4">
        <f>COUNTIFS('Test Cases'!B:B, "Case report", 'Test Cases'!H:H, "Partial")</f>
        <v>0</v>
      </c>
      <c r="E27" s="4">
        <f>COUNTIFS('Test Cases'!B:B, "Case report", 'Test Cases'!H:H, "&lt;&gt;Pass", 'Test Cases'!H:H, "&lt;&gt;Fail", 'Test Cases'!H:H, "&lt;&gt;Partial", 'Test Cases'!H:H, "&lt;&gt;")</f>
        <v>0</v>
      </c>
    </row>
    <row r="28" spans="1:5" x14ac:dyDescent="0.3">
      <c r="A28" s="4" t="s">
        <v>118</v>
      </c>
      <c r="B28" s="4">
        <f>COUNTIFS('Test Cases'!B:B, "Manager", 'Test Cases'!H:H, "Pass")</f>
        <v>6</v>
      </c>
      <c r="C28" s="4">
        <f>COUNTIFS('Test Cases'!B:B, "Manager", 'Test Cases'!H:H, "Fail")</f>
        <v>0</v>
      </c>
      <c r="D28" s="4">
        <f>COUNTIFS('Test Cases'!B:B, "Manager", 'Test Cases'!H:H, "Partial")</f>
        <v>0</v>
      </c>
      <c r="E28" s="4">
        <f>COUNTIFS('Test Cases'!B:B, "Manager", 'Test Cases'!H:H, "&lt;&gt;Pass", 'Test Cases'!H:H, "&lt;&gt;Fail", 'Test Cases'!H:H, "&lt;&gt;Partial", 'Test Cases'!H:H, "&lt;&gt;")</f>
        <v>0</v>
      </c>
    </row>
    <row r="29" spans="1:5" x14ac:dyDescent="0.3">
      <c r="A29" s="4" t="s">
        <v>125</v>
      </c>
      <c r="B29" s="4">
        <f>COUNTIFS('Test Cases'!B:B, "Manager edit", 'Test Cases'!H:H, "Pass")</f>
        <v>8</v>
      </c>
      <c r="C29" s="4">
        <f>COUNTIFS('Test Cases'!B:B, "Manager edit", 'Test Cases'!H:H, "Fail")</f>
        <v>0</v>
      </c>
      <c r="D29" s="4">
        <f>COUNTIFS('Test Cases'!B:B, "Manager edit", 'Test Cases'!H:H, "Partial")</f>
        <v>0</v>
      </c>
      <c r="E29" s="4">
        <f>COUNTIFS('Test Cases'!B:B, "Manager edit", 'Test Cases'!H:H, "&lt;&gt;Pass", 'Test Cases'!H:H, "&lt;&gt;Fail", 'Test Cases'!H:H, "&lt;&gt;Partial", 'Test Cases'!H:H, "&lt;&gt;")</f>
        <v>0</v>
      </c>
    </row>
    <row r="30" spans="1:5" x14ac:dyDescent="0.3">
      <c r="A30" s="4" t="s">
        <v>133</v>
      </c>
      <c r="B30" s="4">
        <f>COUNTIFS('Test Cases'!B:B, "RTE editor", 'Test Cases'!H:H, "Pass")</f>
        <v>11</v>
      </c>
      <c r="C30" s="4">
        <f>COUNTIFS('Test Cases'!B:B, "RTE editor", 'Test Cases'!H:H, "Fail")</f>
        <v>1</v>
      </c>
      <c r="D30" s="4">
        <f>COUNTIFS('Test Cases'!B:B, "RTE editor", 'Test Cases'!H:H, "Partial")</f>
        <v>0</v>
      </c>
      <c r="E30" s="4">
        <f>COUNTIFS('Test Cases'!B:B, "RTE editor", 'Test Cases'!H:H, "&lt;&gt;Pass", 'Test Cases'!H:H, "&lt;&gt;Fail", 'Test Cases'!H:H, "&lt;&gt;Partial", 'Test Cases'!H:H, "&lt;&gt;")</f>
        <v>0</v>
      </c>
    </row>
    <row r="31" spans="1:5" x14ac:dyDescent="0.3">
      <c r="A31" s="4" t="s">
        <v>146</v>
      </c>
      <c r="B31" s="4">
        <f>COUNTIFS('Test Cases'!B:B, "Teams", 'Test Cases'!H:H, "Pass")</f>
        <v>4</v>
      </c>
      <c r="C31" s="4">
        <f>COUNTIFS('Test Cases'!B:B, "Teams", 'Test Cases'!H:H, "Fail")</f>
        <v>0</v>
      </c>
      <c r="D31" s="4">
        <f>COUNTIFS('Test Cases'!B:B, "Teams", 'Test Cases'!H:H, "Partial")</f>
        <v>0</v>
      </c>
      <c r="E31" s="4">
        <f>COUNTIFS('Test Cases'!B:B, "Teams", 'Test Cases'!H:H, "&lt;&gt;Pass", 'Test Cases'!H:H, "&lt;&gt;Fail", 'Test Cases'!H:H, "&lt;&gt;Partial", 'Test Cases'!H:H, "&lt;&gt;")</f>
        <v>0</v>
      </c>
    </row>
    <row r="32" spans="1:5" x14ac:dyDescent="0.3">
      <c r="A32" s="4" t="s">
        <v>151</v>
      </c>
      <c r="B32" s="4">
        <f>COUNTIFS('Test Cases'!B:B, "History", 'Test Cases'!H:H, "Pass")</f>
        <v>2</v>
      </c>
      <c r="C32" s="4">
        <f>COUNTIFS('Test Cases'!B:B, "History", 'Test Cases'!H:H, "Fail")</f>
        <v>0</v>
      </c>
      <c r="D32" s="4">
        <f>COUNTIFS('Test Cases'!B:B, "History", 'Test Cases'!H:H, "Partial")</f>
        <v>0</v>
      </c>
      <c r="E32" s="4">
        <f>COUNTIFS('Test Cases'!B:B, "History", 'Test Cases'!H:H, "&lt;&gt;Pass", 'Test Cases'!H:H, "&lt;&gt;Fail", 'Test Cases'!H:H, "&lt;&gt;Partial", 'Test Cases'!H:H, "&lt;&gt;")</f>
        <v>0</v>
      </c>
    </row>
    <row r="33" spans="1:5" x14ac:dyDescent="0.3">
      <c r="A33" s="4" t="s">
        <v>154</v>
      </c>
      <c r="B33" s="4">
        <f>COUNTIFS('Test Cases'!B:B, "Usage", 'Test Cases'!H:H, "Pass")</f>
        <v>4</v>
      </c>
      <c r="C33" s="4">
        <f>COUNTIFS('Test Cases'!B:B, "Usage", 'Test Cases'!H:H, "Fail")</f>
        <v>1</v>
      </c>
      <c r="D33" s="4">
        <f>COUNTIFS('Test Cases'!B:B, "Usage", 'Test Cases'!H:H, "Partial")</f>
        <v>0</v>
      </c>
      <c r="E33" s="4">
        <f>COUNTIFS('Test Cases'!B:B, "Usage", 'Test Cases'!H:H, "&lt;&gt;Pass", 'Test Cases'!H:H, "&lt;&gt;Fail", 'Test Cases'!H:H, "&lt;&gt;Partial", 'Test Cases'!H:H, "&lt;&gt;")</f>
        <v>0</v>
      </c>
    </row>
    <row r="34" spans="1:5" x14ac:dyDescent="0.3">
      <c r="A34" s="4" t="s">
        <v>160</v>
      </c>
      <c r="B34" s="4">
        <f>COUNTIFS('Test Cases'!B:B, "Read-only", 'Test Cases'!H:H, "Pass")</f>
        <v>2</v>
      </c>
      <c r="C34" s="4">
        <f>COUNTIFS('Test Cases'!B:B, "Read-only", 'Test Cases'!H:H, "Fail")</f>
        <v>0</v>
      </c>
      <c r="D34" s="4">
        <f>COUNTIFS('Test Cases'!B:B, "Read-only", 'Test Cases'!H:H, "Partial")</f>
        <v>0</v>
      </c>
      <c r="E34" s="4">
        <f>COUNTIFS('Test Cases'!B:B, "Read-only", 'Test Cases'!H:H, "&lt;&gt;Pass", 'Test Cases'!H:H, "&lt;&gt;Fail", 'Test Cases'!H:H, "&lt;&gt;Partial", 'Test Cases'!H:H, "&lt;&gt;")</f>
        <v>0</v>
      </c>
    </row>
    <row r="35" spans="1:5" x14ac:dyDescent="0.3">
      <c r="A35" s="4" t="s">
        <v>163</v>
      </c>
      <c r="B35" s="4">
        <f>COUNTIFS('Test Cases'!B:B, "Dark mode", 'Test Cases'!H:H, "Pass")</f>
        <v>1</v>
      </c>
      <c r="C35" s="4">
        <f>COUNTIFS('Test Cases'!B:B, "Dark mode", 'Test Cases'!H:H, "Fail")</f>
        <v>0</v>
      </c>
      <c r="D35" s="4">
        <f>COUNTIFS('Test Cases'!B:B, "Dark mode", 'Test Cases'!H:H, "Partial")</f>
        <v>0</v>
      </c>
      <c r="E35" s="4">
        <f>COUNTIFS('Test Cases'!B:B, "Dark mode", 'Test Cases'!H:H, "&lt;&gt;Pass", 'Test Cases'!H:H, "&lt;&gt;Fail", 'Test Cases'!H:H, "&lt;&gt;Partial", 'Test Cases'!H:H, "&lt;&gt;")</f>
        <v>0</v>
      </c>
    </row>
    <row r="36" spans="1:5" x14ac:dyDescent="0.3">
      <c r="A36" s="4" t="s">
        <v>165</v>
      </c>
      <c r="B36" s="4">
        <f>COUNTIFS('Test Cases'!B:B, "Background", 'Test Cases'!H:H, "Pass")</f>
        <v>2</v>
      </c>
      <c r="C36" s="4">
        <f>COUNTIFS('Test Cases'!B:B, "Background", 'Test Cases'!H:H, "Fail")</f>
        <v>0</v>
      </c>
      <c r="D36" s="4">
        <f>COUNTIFS('Test Cases'!B:B, "Background", 'Test Cases'!H:H, "Partial")</f>
        <v>0</v>
      </c>
      <c r="E36" s="4">
        <f>COUNTIFS('Test Cases'!B:B, "Background", 'Test Cases'!H:H, "&lt;&gt;Pass", 'Test Cases'!H:H, "&lt;&gt;Fail", 'Test Cases'!H:H, "&lt;&gt;Partial", 'Test Cases'!H:H, "&lt;&gt;")</f>
        <v>0</v>
      </c>
    </row>
    <row r="37" spans="1:5" x14ac:dyDescent="0.3">
      <c r="A37" s="4" t="s">
        <v>168</v>
      </c>
      <c r="B37" s="4">
        <f>COUNTIFS('Test Cases'!B:B, "Diagnostics", 'Test Cases'!H:H, "Pass")</f>
        <v>2</v>
      </c>
      <c r="C37" s="4">
        <f>COUNTIFS('Test Cases'!B:B, "Diagnostics", 'Test Cases'!H:H, "Fail")</f>
        <v>0</v>
      </c>
      <c r="D37" s="4">
        <f>COUNTIFS('Test Cases'!B:B, "Diagnostics", 'Test Cases'!H:H, "Partial")</f>
        <v>0</v>
      </c>
      <c r="E37" s="4">
        <f>COUNTIFS('Test Cases'!B:B, "Diagnostics", 'Test Cases'!H:H, "&lt;&gt;Pass", 'Test Cases'!H:H, "&lt;&gt;Fail", 'Test Cases'!H:H, "&lt;&gt;Partial", 'Test Cases'!H:H, "&lt;&gt;")</f>
        <v>0</v>
      </c>
    </row>
    <row r="38" spans="1:5" x14ac:dyDescent="0.3">
      <c r="A38" s="4" t="s">
        <v>171</v>
      </c>
      <c r="B38" s="4">
        <f>COUNTIFS('Test Cases'!B:B, "Security", 'Test Cases'!H:H, "Pass")</f>
        <v>6</v>
      </c>
      <c r="C38" s="4">
        <f>COUNTIFS('Test Cases'!B:B, "Security", 'Test Cases'!H:H, "Fail")</f>
        <v>0</v>
      </c>
      <c r="D38" s="4">
        <f>COUNTIFS('Test Cases'!B:B, "Security", 'Test Cases'!H:H, "Partial")</f>
        <v>0</v>
      </c>
      <c r="E38" s="4">
        <f>COUNTIFS('Test Cases'!B:B, "Security", 'Test Cases'!H:H, "&lt;&gt;Pass", 'Test Cases'!H:H, "&lt;&gt;Fail", 'Test Cases'!H:H, "&lt;&gt;Partial", 'Test Cases'!H:H, "&lt;&gt;")</f>
        <v>0</v>
      </c>
    </row>
    <row r="39" spans="1:5" x14ac:dyDescent="0.3">
      <c r="A39" s="4" t="s">
        <v>178</v>
      </c>
      <c r="B39" s="4">
        <f>COUNTIFS('Test Cases'!B:B, "Acknowledgements", 'Test Cases'!H:H, "Pass")</f>
        <v>6</v>
      </c>
      <c r="C39" s="4">
        <f>COUNTIFS('Test Cases'!B:B, "Acknowledgements", 'Test Cases'!H:H, "Fail")</f>
        <v>0</v>
      </c>
      <c r="D39" s="4">
        <f>COUNTIFS('Test Cases'!B:B, "Acknowledgements", 'Test Cases'!H:H, "Partial")</f>
        <v>0</v>
      </c>
      <c r="E39" s="4">
        <f>COUNTIFS('Test Cases'!B:B, "Acknowledgements", 'Test Cases'!H:H, "&lt;&gt;Pass", 'Test Cases'!H:H, "&lt;&gt;Fail", 'Test Cases'!H:H, "&lt;&gt;Partial", 'Test Cases'!H:H, "&lt;&gt;")</f>
        <v>0</v>
      </c>
    </row>
    <row r="40" spans="1:5" x14ac:dyDescent="0.3">
      <c r="A40" s="4" t="s">
        <v>185</v>
      </c>
      <c r="B40" s="4">
        <f>COUNTIFS('Test Cases'!B:B, "Suggestions", 'Test Cases'!H:H, "Pass")</f>
        <v>5</v>
      </c>
      <c r="C40" s="4">
        <f>COUNTIFS('Test Cases'!B:B, "Suggestions", 'Test Cases'!H:H, "Fail")</f>
        <v>0</v>
      </c>
      <c r="D40" s="4">
        <f>COUNTIFS('Test Cases'!B:B, "Suggestions", 'Test Cases'!H:H, "Partial")</f>
        <v>0</v>
      </c>
      <c r="E40" s="4">
        <f>COUNTIFS('Test Cases'!B:B, "Suggestions", 'Test Cases'!H:H, "&lt;&gt;Pass", 'Test Cases'!H:H, "&lt;&gt;Fail", 'Test Cases'!H:H, "&lt;&gt;Partial", 'Test Cases'!H:H, "&lt;&gt;")</f>
        <v>1</v>
      </c>
    </row>
    <row r="41" spans="1:5" x14ac:dyDescent="0.3">
      <c r="A41" s="4" t="s">
        <v>192</v>
      </c>
      <c r="B41" s="4">
        <f>COUNTIFS('Test Cases'!B:B, "UX", 'Test Cases'!H:H, "Pass")</f>
        <v>5</v>
      </c>
      <c r="C41" s="4">
        <f>COUNTIFS('Test Cases'!B:B, "UX", 'Test Cases'!H:H, "Fail")</f>
        <v>0</v>
      </c>
      <c r="D41" s="4">
        <f>COUNTIFS('Test Cases'!B:B, "UX", 'Test Cases'!H:H, "Partial")</f>
        <v>0</v>
      </c>
      <c r="E41" s="4">
        <f>COUNTIFS('Test Cases'!B:B, "UX", 'Test Cases'!H:H, "&lt;&gt;Pass", 'Test Cases'!H:H, "&lt;&gt;Fail", 'Test Cases'!H:H, "&lt;&gt;Partial", 'Test Cases'!H:H, "&lt;&gt;")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cols>
    <col min="1" max="1" width="35.6640625" style="1" customWidth="1"/>
    <col min="2" max="2" width="90.6640625" style="1" customWidth="1"/>
  </cols>
  <sheetData>
    <row r="1" spans="1:2" x14ac:dyDescent="0.3">
      <c r="A1" s="9" t="s">
        <v>748</v>
      </c>
      <c r="B1" s="9"/>
    </row>
    <row r="2" spans="1:2" ht="43.2" x14ac:dyDescent="0.3">
      <c r="A2" s="8" t="s">
        <v>749</v>
      </c>
      <c r="B2" s="4" t="s">
        <v>750</v>
      </c>
    </row>
    <row r="3" spans="1:2" ht="28.8" x14ac:dyDescent="0.3">
      <c r="A3" s="8" t="s">
        <v>751</v>
      </c>
      <c r="B3" s="4" t="s">
        <v>752</v>
      </c>
    </row>
    <row r="4" spans="1:2" x14ac:dyDescent="0.3">
      <c r="A4" s="8" t="s">
        <v>753</v>
      </c>
      <c r="B4" s="4" t="s">
        <v>754</v>
      </c>
    </row>
    <row r="5" spans="1:2" x14ac:dyDescent="0.3">
      <c r="A5" s="8" t="s">
        <v>755</v>
      </c>
      <c r="B5" s="4" t="s">
        <v>756</v>
      </c>
    </row>
    <row r="6" spans="1:2" ht="28.8" x14ac:dyDescent="0.3">
      <c r="A6" s="8" t="s">
        <v>757</v>
      </c>
      <c r="B6" s="4" t="s">
        <v>758</v>
      </c>
    </row>
    <row r="7" spans="1:2" x14ac:dyDescent="0.3">
      <c r="A7" s="8" t="s">
        <v>759</v>
      </c>
      <c r="B7" s="4" t="s">
        <v>760</v>
      </c>
    </row>
    <row r="8" spans="1:2" ht="28.8" x14ac:dyDescent="0.3">
      <c r="A8" s="8" t="s">
        <v>761</v>
      </c>
      <c r="B8" s="4" t="s">
        <v>762</v>
      </c>
    </row>
    <row r="9" spans="1:2" ht="28.8" x14ac:dyDescent="0.3">
      <c r="A9" s="8" t="s">
        <v>763</v>
      </c>
      <c r="B9" s="4" t="s">
        <v>764</v>
      </c>
    </row>
    <row r="10" spans="1:2" x14ac:dyDescent="0.3">
      <c r="A10" s="8" t="s">
        <v>765</v>
      </c>
      <c r="B10" s="4" t="s">
        <v>766</v>
      </c>
    </row>
    <row r="11" spans="1:2" x14ac:dyDescent="0.3">
      <c r="A11" s="8" t="s">
        <v>767</v>
      </c>
      <c r="B11" s="4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Test Cases</vt:lpstr>
      <vt:lpstr>Summary</vt:lpstr>
      <vt:lpstr>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Jones</cp:lastModifiedBy>
  <dcterms:created xsi:type="dcterms:W3CDTF">2026-06-27T15:27:14Z</dcterms:created>
  <dcterms:modified xsi:type="dcterms:W3CDTF">2026-06-27T19:23:32Z</dcterms:modified>
</cp:coreProperties>
</file>